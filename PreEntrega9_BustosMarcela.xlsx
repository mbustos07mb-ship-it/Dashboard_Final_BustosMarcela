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pivotTables/pivotTable4.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202300"/>
  <mc:AlternateContent xmlns:mc="http://schemas.openxmlformats.org/markup-compatibility/2006">
    <mc:Choice Requires="x15">
      <x15ac:absPath xmlns:x15ac="http://schemas.microsoft.com/office/spreadsheetml/2010/11/ac" url="C:\Users\mbustos\Downloads\"/>
    </mc:Choice>
  </mc:AlternateContent>
  <xr:revisionPtr revIDLastSave="0" documentId="8_{341C1BF7-40BA-4E1A-9E5D-06A525417805}" xr6:coauthVersionLast="47" xr6:coauthVersionMax="47" xr10:uidLastSave="{00000000-0000-0000-0000-000000000000}"/>
  <bookViews>
    <workbookView xWindow="-108" yWindow="-108" windowWidth="23256" windowHeight="12456" firstSheet="1" activeTab="1" xr2:uid="{021207DE-82B6-404C-9DF3-90F328A82B81}"/>
  </bookViews>
  <sheets>
    <sheet name="Hoja3" sheetId="13" state="hidden" r:id="rId1"/>
    <sheet name="Dashboard" sheetId="14" r:id="rId2"/>
    <sheet name="Hechos_Ventas" sheetId="2" r:id="rId3"/>
    <sheet name="Hoja1" sheetId="8" state="hidden" r:id="rId4"/>
    <sheet name="Resumen" sheetId="3" r:id="rId5"/>
    <sheet name="Resumen del Escenario" sheetId="7" r:id="rId6"/>
    <sheet name="DAX_Medidas" sheetId="6" r:id="rId7"/>
    <sheet name="Datos_Fuentes" sheetId="5" r:id="rId8"/>
    <sheet name="Escenarios" sheetId="4" r:id="rId9"/>
  </sheets>
  <definedNames>
    <definedName name="_xlcn.WorksheetConnection_PreEntrega_ModeloBI_BustosMarcela2.xlsxHechos_Ventas1" hidden="1">Hechos_Ventas[]</definedName>
    <definedName name="DatosExternos_1" localSheetId="2" hidden="1">Hechos_Ventas!$A$1:$M$535</definedName>
    <definedName name="SegmentaciónDeDatos_Categoria">#N/A</definedName>
    <definedName name="SegmentaciónDeDatos_Mes">#N/A</definedName>
  </definedNames>
  <calcPr calcId="191029"/>
  <pivotCaches>
    <pivotCache cacheId="248" r:id="rId10"/>
    <pivotCache cacheId="251" r:id="rId11"/>
    <pivotCache cacheId="254" r:id="rId12"/>
    <pivotCache cacheId="257" r:id="rId13"/>
  </pivotCaches>
  <extLst>
    <ext xmlns:x14="http://schemas.microsoft.com/office/spreadsheetml/2009/9/main" uri="{876F7934-8845-4945-9796-88D515C7AA90}">
      <x14:pivotCaches>
        <pivotCache cacheId="107" r:id="rId14"/>
      </x14:pivotCaches>
    </ext>
    <ext xmlns:x14="http://schemas.microsoft.com/office/spreadsheetml/2009/9/main" uri="{BBE1A952-AA13-448e-AADC-164F8A28A991}">
      <x14:slicerCaches>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echos_Ventas_19df19a4-c57c-4c91-97db-87b6de2d9817" name="Hechos_Ventas" connection="Consulta - Hechos_Ventas"/>
          <x15:modelTable id="Dim_Clientes_854f0e63-663b-49ce-bb94-a37c9dd4f548" name="Dim_Clientes" connection="Consulta - Dim_Clientes"/>
          <x15:modelTable id="Dim_Productos_d31866eb-05bc-4f24-9af5-2778188b49db" name="Dim_Productos" connection="Consulta - Dim_Productos"/>
          <x15:modelTable id="Dim_Calendario_0597a536-2373-426c-b93e-a6fe85f0cafc" name="Dim_Calendario" connection="Consulta - Dim_Calendario"/>
          <x15:modelTable id="Hechos_Ventas 1" name="Hechos_Ventas 1" connection="WorksheetConnection_PreEntrega_ModeloBI_BustosMarcela2.xlsx!Hechos_Ventas"/>
        </x15:modelTables>
        <x15:modelRelationships>
          <x15:modelRelationship fromTable="Hechos_Ventas" fromColumn="Fecha" toTable="Dim_Calendario" toColumn="Fecha"/>
          <x15:modelRelationship fromTable="Hechos_Ventas" fromColumn="ProductoID" toTable="Dim_Productos" toColumn="Producto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C9" i="4" l="1"/>
  <c r="D9" i="4" s="1"/>
  <c r="C8" i="4"/>
  <c r="D8" i="4" s="1"/>
  <c r="C7" i="4"/>
  <c r="D7" i="4" s="1"/>
  <c r="B5"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626D497-A2E8-4420-AF7D-A917C10A84A2}" name="Consulta - Dim_Calendario" description="Conexión a la consulta 'Dim_Calendario' en el libro." type="100" refreshedVersion="8" minRefreshableVersion="5">
    <extLst>
      <ext xmlns:x15="http://schemas.microsoft.com/office/spreadsheetml/2010/11/main" uri="{DE250136-89BD-433C-8126-D09CA5730AF9}">
        <x15:connection id="d9ecdcc2-69bd-4e1e-a348-ce0637bd6f74"/>
      </ext>
    </extLst>
  </connection>
  <connection id="2" xr16:uid="{69664B44-D3A1-49B7-B250-13C5C8B55CDF}" name="Consulta - Dim_Clientes" description="Conexión a la consulta 'Dim_Clientes' en el libro." type="100" refreshedVersion="8" minRefreshableVersion="5">
    <extLst>
      <ext xmlns:x15="http://schemas.microsoft.com/office/spreadsheetml/2010/11/main" uri="{DE250136-89BD-433C-8126-D09CA5730AF9}">
        <x15:connection id="e668e39f-8d38-4d83-851b-816b57287ada"/>
      </ext>
    </extLst>
  </connection>
  <connection id="3" xr16:uid="{060532D0-34D8-49F9-BF61-9A49FF8CD763}" name="Consulta - Dim_Productos" description="Conexión a la consulta 'Dim_Productos' en el libro." type="100" refreshedVersion="8" minRefreshableVersion="5">
    <extLst>
      <ext xmlns:x15="http://schemas.microsoft.com/office/spreadsheetml/2010/11/main" uri="{DE250136-89BD-433C-8126-D09CA5730AF9}">
        <x15:connection id="73460923-f86c-4b76-b0bb-b68258ab7dae"/>
      </ext>
    </extLst>
  </connection>
  <connection id="4" xr16:uid="{7CFB45AF-B136-4CB1-9FBD-4A51D080E54D}" name="Consulta - Hechos_Ventas" description="Conexión a la consulta 'Hechos_Ventas' en el libro." type="100" refreshedVersion="8" minRefreshableVersion="5">
    <extLst>
      <ext xmlns:x15="http://schemas.microsoft.com/office/spreadsheetml/2010/11/main" uri="{DE250136-89BD-433C-8126-D09CA5730AF9}">
        <x15:connection id="32d67525-f412-49c8-8e27-884725a318fb"/>
      </ext>
    </extLst>
  </connection>
  <connection id="5" xr16:uid="{37BC694B-B91D-46C7-BF8D-DE45EC23848C}" keepAlive="1" name="ModelConnection_DatosExternos_1" description="Modelo de datos" type="5" refreshedVersion="8" minRefreshableVersion="5" saveData="1">
    <dbPr connection="Data Model Connection" command="Hechos_Ventas" commandType="3"/>
    <extLst>
      <ext xmlns:x15="http://schemas.microsoft.com/office/spreadsheetml/2010/11/main" uri="{DE250136-89BD-433C-8126-D09CA5730AF9}">
        <x15:connection id="" model="1"/>
      </ext>
    </extLst>
  </connection>
  <connection id="6" xr16:uid="{3FD74340-5F56-4E7B-B884-02A8843D7E83}" keepAlive="1" name="ThisWorkbookDataModel" description="Modelo de datos"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7" xr16:uid="{AAA3FFC9-8DE5-4B36-AB26-FCA9B2585A3E}" name="WorksheetConnection_PreEntrega_ModeloBI_BustosMarcela2.xlsx!Hechos_Ventas" type="102" refreshedVersion="8" minRefreshableVersion="5">
    <extLst>
      <ext xmlns:x15="http://schemas.microsoft.com/office/spreadsheetml/2010/11/main" uri="{DE250136-89BD-433C-8126-D09CA5730AF9}">
        <x15:connection id="Hechos_Ventas 1">
          <x15:rangePr sourceName="_xlcn.WorksheetConnection_PreEntrega_ModeloBI_BustosMarcela2.xlsxHechos_Ventas1"/>
        </x15:connection>
      </ext>
    </extLst>
  </connection>
</connections>
</file>

<file path=xl/sharedStrings.xml><?xml version="1.0" encoding="utf-8"?>
<sst xmlns="http://schemas.openxmlformats.org/spreadsheetml/2006/main" count="4387" uniqueCount="100">
  <si>
    <t>VentaID</t>
  </si>
  <si>
    <t>Fecha</t>
  </si>
  <si>
    <t>ClienteID</t>
  </si>
  <si>
    <t>Cliente</t>
  </si>
  <si>
    <t>Ciudad</t>
  </si>
  <si>
    <t>ProductoID</t>
  </si>
  <si>
    <t>Producto</t>
  </si>
  <si>
    <t>Categoria</t>
  </si>
  <si>
    <t>Cantidad</t>
  </si>
  <si>
    <t>PrecioUnitario</t>
  </si>
  <si>
    <t>CostoUnitario</t>
  </si>
  <si>
    <t>VentaNeta</t>
  </si>
  <si>
    <t>Margen</t>
  </si>
  <si>
    <t>Comercial Andes</t>
  </si>
  <si>
    <t>Santiago</t>
  </si>
  <si>
    <t>Escritorio Ejecutivo</t>
  </si>
  <si>
    <t>Mobiliario</t>
  </si>
  <si>
    <t>Laptop Pro</t>
  </si>
  <si>
    <t>Tecnologia</t>
  </si>
  <si>
    <t>Monitor 27</t>
  </si>
  <si>
    <t>Teclado Mecanico</t>
  </si>
  <si>
    <t>Accesorios</t>
  </si>
  <si>
    <t>Mouse Inalambrico</t>
  </si>
  <si>
    <t>Silla Ergonomica</t>
  </si>
  <si>
    <t>Importadora Chile</t>
  </si>
  <si>
    <t>Mercado Central</t>
  </si>
  <si>
    <t/>
  </si>
  <si>
    <t>Distribuidora Sur</t>
  </si>
  <si>
    <t>Concepcion</t>
  </si>
  <si>
    <t>Comercial BioBio</t>
  </si>
  <si>
    <t>Retail Costanera</t>
  </si>
  <si>
    <t>Valparaiso</t>
  </si>
  <si>
    <t>Retail Pacifico</t>
  </si>
  <si>
    <t>Inversiones Norte</t>
  </si>
  <si>
    <t>Antofagasta</t>
  </si>
  <si>
    <t>Media</t>
  </si>
  <si>
    <t>Error típico</t>
  </si>
  <si>
    <t>Mediana</t>
  </si>
  <si>
    <t>Moda</t>
  </si>
  <si>
    <t>Desviación estándar</t>
  </si>
  <si>
    <t>Varianza de la muestra</t>
  </si>
  <si>
    <t>Curtosis</t>
  </si>
  <si>
    <t>Coeficiente de asimetría</t>
  </si>
  <si>
    <t>Rango</t>
  </si>
  <si>
    <t>Mínimo</t>
  </si>
  <si>
    <t>Máximo</t>
  </si>
  <si>
    <t>Suma</t>
  </si>
  <si>
    <t>Cuenta</t>
  </si>
  <si>
    <t>SIMULACIÓN DE ESCENARIOS</t>
  </si>
  <si>
    <t>Variable</t>
  </si>
  <si>
    <t>Valor base</t>
  </si>
  <si>
    <t>Ventas base</t>
  </si>
  <si>
    <t>Tasa de costo base</t>
  </si>
  <si>
    <t>Utilidad base</t>
  </si>
  <si>
    <t>Escenario</t>
  </si>
  <si>
    <t>Tasa de costo</t>
  </si>
  <si>
    <t>Ventas</t>
  </si>
  <si>
    <t>Utilidad</t>
  </si>
  <si>
    <t>Pesimista</t>
  </si>
  <si>
    <t>Base</t>
  </si>
  <si>
    <t>Optimista</t>
  </si>
  <si>
    <t>Medidas DAX para crear en Power Pivot</t>
  </si>
  <si>
    <t>Medida</t>
  </si>
  <si>
    <t>Código</t>
  </si>
  <si>
    <t>Total Ventas</t>
  </si>
  <si>
    <t>Total Ventas := SUM(Hechos_Ventas[VentaNeta])</t>
  </si>
  <si>
    <t>Margen Neto</t>
  </si>
  <si>
    <t>Margen Neto := VAR Ventas = [Total Ventas] VAR Costos = SUMX(Hechos_Ventas, Hechos_Ventas[Cantidad] * Hechos_Ventas[CostoUnitario]) RETURN Ventas - Costos</t>
  </si>
  <si>
    <t>Resumen del escenario</t>
  </si>
  <si>
    <t>Valores actuales:</t>
  </si>
  <si>
    <t>Creado por Marcela Bustos el 01-10-2026</t>
  </si>
  <si>
    <t>Celdas cambiantes:</t>
  </si>
  <si>
    <t>$B$4</t>
  </si>
  <si>
    <t>Celdas de resultado:</t>
  </si>
  <si>
    <t>$B$5</t>
  </si>
  <si>
    <t>Notas: La columna de valores actuales representa los valores de las celdas cambiantes</t>
  </si>
  <si>
    <t>en el momento en que se creó el Informe resumen de escenario. Las celdas cambiantes de</t>
  </si>
  <si>
    <t>cada escenario se muestran en gris.</t>
  </si>
  <si>
    <t>Etiquetas de fila</t>
  </si>
  <si>
    <t>Total general</t>
  </si>
  <si>
    <t>abril</t>
  </si>
  <si>
    <t>enero</t>
  </si>
  <si>
    <t>febrero</t>
  </si>
  <si>
    <t>junio</t>
  </si>
  <si>
    <t>marzo</t>
  </si>
  <si>
    <t>mayo</t>
  </si>
  <si>
    <t>DASHBOARD EJECUTIVO DE VENTAS</t>
  </si>
  <si>
    <t>VENTAS TOTALES</t>
  </si>
  <si>
    <t>MARGEN NETO</t>
  </si>
  <si>
    <t>UNIDADES VENDIDAS</t>
  </si>
  <si>
    <t>Análisis Comercial y Rentabilidad | 2026</t>
  </si>
  <si>
    <t>Meta de referencia: $4.500 MM</t>
  </si>
  <si>
    <t>Conclusiones del Análisis</t>
  </si>
  <si>
    <r>
      <rPr>
        <b/>
        <sz val="11"/>
        <color theme="1"/>
        <rFont val="Cambria"/>
        <family val="1"/>
      </rPr>
      <t>Evolución de Ventas</t>
    </r>
    <r>
      <rPr>
        <sz val="11"/>
        <color theme="1"/>
        <rFont val="Cambria"/>
        <family val="1"/>
      </rPr>
      <t>: Las ventas alcanzan su nivel más alto en junio, con $917.476.500, mientras que marzo presenta el menor resultado, con $689.315.500. Esto evidencia variaciones relevantes en el desempeño comercial durante el periodo analizado</t>
    </r>
  </si>
  <si>
    <r>
      <rPr>
        <b/>
        <sz val="11"/>
        <color theme="1"/>
        <rFont val="Cambria"/>
        <family val="1"/>
      </rPr>
      <t xml:space="preserve">Participación por categoría: </t>
    </r>
    <r>
      <rPr>
        <sz val="11"/>
        <color theme="1"/>
        <rFont val="Cambria"/>
        <family val="1"/>
      </rPr>
      <t>Luego de corregir la clasificación del producto Monitor 27, Tecnología concentra la mayor parte de las ventas, seguida por Mobiliario y Accesorios. Esto demuestra una alta participación de la categoría Tecnología dentro de los ingresos totales.</t>
    </r>
  </si>
  <si>
    <r>
      <rPr>
        <b/>
        <sz val="11"/>
        <color theme="1"/>
        <rFont val="Cambria"/>
        <family val="1"/>
      </rPr>
      <t xml:space="preserve">Rentabilidad por producto: </t>
    </r>
    <r>
      <rPr>
        <sz val="11"/>
        <color theme="1"/>
        <rFont val="Cambria"/>
        <family val="1"/>
      </rPr>
      <t>El análisis del margen neto por producto permite observar que la contribución a la rentabilidad no necesariamente coincide con el nive de ventas. Por ello, evaluar conjuntamente ventas y margen entrega una visión más completa del desempeño de cada producto</t>
    </r>
  </si>
  <si>
    <t>Abogado del Diablo</t>
  </si>
  <si>
    <r>
      <rPr>
        <b/>
        <sz val="11"/>
        <color theme="1"/>
        <rFont val="Cambria"/>
        <family val="1"/>
      </rPr>
      <t xml:space="preserve">PROMPT: </t>
    </r>
    <r>
      <rPr>
        <sz val="11"/>
        <color theme="1"/>
        <rFont val="Cambria"/>
        <family val="1"/>
      </rPr>
      <t>Analiza como “abogado del diablo” las conclusiones de mi dashboard de ventas. Identifica posibles sesgos, variables omitidas o explicaciones alternativas para las tendencias observadas, considerando evolución mensual, ventas por categoría y margen neto por producto.</t>
    </r>
  </si>
  <si>
    <r>
      <rPr>
        <b/>
        <sz val="11"/>
        <color theme="1"/>
        <rFont val="Cambria"/>
        <family val="1"/>
      </rPr>
      <t>RESPUESTA IA:</t>
    </r>
    <r>
      <rPr>
        <sz val="11"/>
        <color theme="1"/>
        <rFont val="Cambria"/>
        <family val="1"/>
      </rPr>
      <t xml:space="preserve"> Las conclusiones son coherentes con los datos visualizados, pero existen algunas limitaciones. El mayor nivel de ventas de junio no demuestra por sí solo una tendencia creciente, ya que el análisis comprende únicamente seis meses y podrían existir efectos de estacionalidad, promociones o cambios en el volumen vendido. Asimismo, el predominio de Tecnología puede estar influido por precios unitarios más altos y no necesariamente por una mayor cantidad de productos vendidos. Finalmente, un producto con mayores ventas no necesariamente genera mayor rentabilidad, por lo que conviene considerar conjuntamente ingresos, unidades, costos y margen antes de tomar decisiones comerciales.</t>
    </r>
  </si>
  <si>
    <r>
      <t>Nota metodológica:</t>
    </r>
    <r>
      <rPr>
        <sz val="11"/>
        <color theme="2" tint="-0.499984740745262"/>
        <rFont val="Aptos Narrow"/>
        <family val="2"/>
        <scheme val="minor"/>
      </rPr>
      <t xml:space="preserve"> Los resultados corresponden al período analizado y deben interpretarse considerando posibles efectos de estacionalidad, mezcla de productos, precios y costos. Una mayor venta no implica necesariamente una mayor rentabilidad.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</si>
</sst>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2" formatCode="_ &quot;$&quot;* #,##0_ ;_ &quot;$&quot;* \-#,##0_ ;_ &quot;$&quot;* &quot;-&quot;_ ;_ @_ "/>
    <numFmt numFmtId="164" formatCode="yyyy\-mm\-dd\ h:mm:ss"/>
    <numFmt numFmtId="166" formatCode="&quot;$&quot;#,##0"/>
  </numFmts>
  <fonts count="21" x14ac:knownFonts="1">
    <font>
      <sz val="11"/>
      <color theme="1"/>
      <name val="Aptos Narrow"/>
      <family val="2"/>
      <scheme val="minor"/>
    </font>
    <font>
      <i/>
      <sz val="11"/>
      <color theme="1"/>
      <name val="Aptos Narrow"/>
      <family val="2"/>
      <scheme val="minor"/>
    </font>
    <font>
      <b/>
      <sz val="14"/>
      <color rgb="FFFFFFFF"/>
      <name val="Calibri"/>
      <family val="2"/>
    </font>
    <font>
      <b/>
      <sz val="11"/>
      <name val="Calibri"/>
      <family val="2"/>
    </font>
    <font>
      <sz val="11"/>
      <color theme="1"/>
      <name val="Calibri"/>
      <family val="2"/>
    </font>
    <font>
      <b/>
      <sz val="11"/>
      <color rgb="FFFFFFFF"/>
      <name val="Calibri"/>
      <family val="2"/>
    </font>
    <font>
      <b/>
      <sz val="12"/>
      <color rgb="FFFFFFFF"/>
      <name val="Calibri"/>
      <family val="2"/>
    </font>
    <font>
      <sz val="10"/>
      <color rgb="FFFFFFFF"/>
      <name val="Calibri"/>
      <family val="2"/>
    </font>
    <font>
      <b/>
      <sz val="11"/>
      <color rgb="FF000000"/>
      <name val="Calibri"/>
      <family val="2"/>
    </font>
    <font>
      <sz val="8"/>
      <color rgb="FF000000"/>
      <name val="Calibri"/>
      <family val="2"/>
    </font>
    <font>
      <b/>
      <sz val="11"/>
      <color rgb="FF000080"/>
      <name val="Calibri"/>
      <family val="2"/>
    </font>
    <font>
      <sz val="11"/>
      <color theme="1"/>
      <name val="Aptos Narrow"/>
      <family val="2"/>
      <scheme val="minor"/>
    </font>
    <font>
      <sz val="11"/>
      <color theme="1"/>
      <name val="Cambria"/>
      <family val="1"/>
    </font>
    <font>
      <b/>
      <sz val="14"/>
      <color theme="0"/>
      <name val="Cambria"/>
      <family val="1"/>
    </font>
    <font>
      <sz val="11"/>
      <color theme="2" tint="-0.499984740745262"/>
      <name val="Cambria"/>
      <family val="1"/>
    </font>
    <font>
      <b/>
      <sz val="11"/>
      <name val="Aptos Narrow"/>
      <family val="2"/>
      <scheme val="minor"/>
    </font>
    <font>
      <sz val="11"/>
      <name val="Aptos Narrow"/>
      <family val="2"/>
      <scheme val="minor"/>
    </font>
    <font>
      <sz val="9"/>
      <color theme="2" tint="-0.499984740745262"/>
      <name val="Aptos Narrow"/>
      <family val="2"/>
      <scheme val="minor"/>
    </font>
    <font>
      <sz val="11"/>
      <color theme="2" tint="-0.499984740745262"/>
      <name val="Aptos Narrow"/>
      <family val="2"/>
      <scheme val="minor"/>
    </font>
    <font>
      <b/>
      <sz val="11"/>
      <color theme="1"/>
      <name val="Cambria"/>
      <family val="1"/>
    </font>
    <font>
      <b/>
      <sz val="11"/>
      <color theme="2" tint="-0.499984740745262"/>
      <name val="Aptos Narrow"/>
      <family val="2"/>
      <scheme val="minor"/>
    </font>
  </fonts>
  <fills count="12">
    <fill>
      <patternFill patternType="none"/>
    </fill>
    <fill>
      <patternFill patternType="gray125"/>
    </fill>
    <fill>
      <patternFill patternType="solid">
        <fgColor rgb="FF1F4E78"/>
      </patternFill>
    </fill>
    <fill>
      <patternFill patternType="solid">
        <fgColor rgb="FFD9EAF7"/>
      </patternFill>
    </fill>
    <fill>
      <patternFill patternType="solid">
        <fgColor rgb="FF1F4E78"/>
        <bgColor rgb="FFFFFFFF"/>
      </patternFill>
    </fill>
    <fill>
      <patternFill patternType="solid">
        <fgColor rgb="FFD9EAF7"/>
        <bgColor rgb="FFFFFFFF"/>
      </patternFill>
    </fill>
    <fill>
      <patternFill patternType="solid">
        <fgColor rgb="FF800080"/>
        <bgColor rgb="FF9999FF"/>
      </patternFill>
    </fill>
    <fill>
      <patternFill patternType="solid">
        <fgColor rgb="FFC0C0C0"/>
        <bgColor rgb="FF9999FF"/>
      </patternFill>
    </fill>
    <fill>
      <patternFill patternType="solid">
        <fgColor rgb="FFC0C0C0"/>
        <bgColor rgb="FF00FFFF"/>
      </patternFill>
    </fill>
    <fill>
      <patternFill patternType="solid">
        <fgColor theme="3" tint="0.89999084444715716"/>
        <bgColor indexed="64"/>
      </patternFill>
    </fill>
    <fill>
      <patternFill patternType="solid">
        <fgColor theme="0"/>
        <bgColor indexed="64"/>
      </patternFill>
    </fill>
    <fill>
      <patternFill patternType="solid">
        <fgColor theme="4" tint="-0.249977111117893"/>
        <bgColor indexed="64"/>
      </patternFill>
    </fill>
  </fills>
  <borders count="31">
    <border>
      <left/>
      <right/>
      <top/>
      <bottom/>
      <diagonal/>
    </border>
    <border>
      <left/>
      <right/>
      <top style="medium">
        <color indexed="64"/>
      </top>
      <bottom/>
      <diagonal/>
    </border>
    <border>
      <left/>
      <right/>
      <top/>
      <bottom style="medium">
        <color indexed="64"/>
      </bottom>
      <diagonal/>
    </border>
    <border>
      <left/>
      <right/>
      <top style="thin">
        <color indexed="64"/>
      </top>
      <bottom style="thin">
        <color indexed="64"/>
      </bottom>
      <diagonal/>
    </border>
    <border>
      <left/>
      <right/>
      <top style="medium">
        <color indexed="64"/>
      </top>
      <bottom style="thin">
        <color indexed="64"/>
      </bottom>
      <diagonal/>
    </border>
    <border>
      <left/>
      <right/>
      <top/>
      <bottom style="thin">
        <color rgb="FFB7B7B7"/>
      </bottom>
      <diagonal/>
    </border>
    <border>
      <left/>
      <right/>
      <top/>
      <bottom style="thin">
        <color indexed="64"/>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
      <left style="mediumDashDot">
        <color theme="3" tint="0.249977111117893"/>
      </left>
      <right style="mediumDashDot">
        <color theme="3" tint="0.249977111117893"/>
      </right>
      <top style="mediumDashDot">
        <color theme="3" tint="0.249977111117893"/>
      </top>
      <bottom style="mediumDashDot">
        <color theme="3" tint="0.249977111117893"/>
      </bottom>
      <diagonal/>
    </border>
    <border>
      <left style="mediumDashDot">
        <color theme="3" tint="0.249977111117893"/>
      </left>
      <right/>
      <top style="mediumDashDot">
        <color theme="3" tint="0.249977111117893"/>
      </top>
      <bottom style="mediumDashDot">
        <color theme="3" tint="0.249977111117893"/>
      </bottom>
      <diagonal/>
    </border>
    <border>
      <left/>
      <right/>
      <top style="mediumDashDot">
        <color theme="3" tint="0.249977111117893"/>
      </top>
      <bottom style="mediumDashDot">
        <color theme="3" tint="0.249977111117893"/>
      </bottom>
      <diagonal/>
    </border>
    <border>
      <left/>
      <right style="mediumDashDot">
        <color theme="3" tint="0.249977111117893"/>
      </right>
      <top style="mediumDashDot">
        <color theme="3" tint="0.249977111117893"/>
      </top>
      <bottom style="mediumDashDot">
        <color theme="3" tint="0.249977111117893"/>
      </bottom>
      <diagonal/>
    </border>
    <border>
      <left/>
      <right style="thick">
        <color theme="3" tint="0.249977111117893"/>
      </right>
      <top/>
      <bottom/>
      <diagonal/>
    </border>
    <border>
      <left style="thick">
        <color theme="3" tint="0.249977111117893"/>
      </left>
      <right style="mediumDashDot">
        <color theme="3" tint="0.249977111117893"/>
      </right>
      <top/>
      <bottom/>
      <diagonal/>
    </border>
    <border>
      <left style="thick">
        <color theme="3" tint="0.249977111117893"/>
      </left>
      <right style="thick">
        <color theme="3" tint="0.249977111117893"/>
      </right>
      <top style="thick">
        <color theme="3" tint="0.249977111117893"/>
      </top>
      <bottom style="thick">
        <color theme="3" tint="0.249977111117893"/>
      </bottom>
      <diagonal/>
    </border>
    <border>
      <left style="mediumDashDot">
        <color theme="3" tint="0.249977111117893"/>
      </left>
      <right style="thick">
        <color theme="3" tint="0.249977111117893"/>
      </right>
      <top style="mediumDashDot">
        <color theme="3" tint="0.249977111117893"/>
      </top>
      <bottom style="thick">
        <color theme="3" tint="0.249977111117893"/>
      </bottom>
      <diagonal/>
    </border>
    <border>
      <left style="thick">
        <color theme="3" tint="0.249977111117893"/>
      </left>
      <right style="thick">
        <color theme="3" tint="0.249977111117893"/>
      </right>
      <top style="mediumDashDot">
        <color theme="3" tint="0.249977111117893"/>
      </top>
      <bottom style="thick">
        <color theme="3" tint="0.249977111117893"/>
      </bottom>
      <diagonal/>
    </border>
    <border>
      <left style="thick">
        <color theme="3" tint="0.249977111117893"/>
      </left>
      <right style="mediumDashDot">
        <color theme="3" tint="0.249977111117893"/>
      </right>
      <top style="mediumDashDot">
        <color theme="3" tint="0.249977111117893"/>
      </top>
      <bottom style="thick">
        <color theme="3" tint="0.249977111117893"/>
      </bottom>
      <diagonal/>
    </border>
    <border>
      <left style="mediumDashDot">
        <color theme="3" tint="0.249977111117893"/>
      </left>
      <right style="thick">
        <color theme="3" tint="0.249977111117893"/>
      </right>
      <top style="thick">
        <color theme="3" tint="0.249977111117893"/>
      </top>
      <bottom style="thick">
        <color theme="3" tint="0.249977111117893"/>
      </bottom>
      <diagonal/>
    </border>
    <border>
      <left style="thick">
        <color theme="3" tint="0.249977111117893"/>
      </left>
      <right style="mediumDashDot">
        <color theme="3" tint="0.249977111117893"/>
      </right>
      <top style="thick">
        <color theme="3" tint="0.249977111117893"/>
      </top>
      <bottom style="thick">
        <color theme="3" tint="0.249977111117893"/>
      </bottom>
      <diagonal/>
    </border>
    <border>
      <left style="mediumDashDot">
        <color theme="3" tint="0.249977111117893"/>
      </left>
      <right style="thick">
        <color theme="3" tint="0.249977111117893"/>
      </right>
      <top style="thick">
        <color theme="3" tint="0.249977111117893"/>
      </top>
      <bottom style="mediumDashDot">
        <color theme="3" tint="0.249977111117893"/>
      </bottom>
      <diagonal/>
    </border>
    <border>
      <left style="thick">
        <color theme="3" tint="0.249977111117893"/>
      </left>
      <right style="thick">
        <color theme="3" tint="0.249977111117893"/>
      </right>
      <top style="thick">
        <color theme="3" tint="0.249977111117893"/>
      </top>
      <bottom style="mediumDashDot">
        <color theme="3" tint="0.249977111117893"/>
      </bottom>
      <diagonal/>
    </border>
    <border>
      <left style="thick">
        <color theme="3" tint="0.249977111117893"/>
      </left>
      <right style="mediumDashDot">
        <color theme="3" tint="0.249977111117893"/>
      </right>
      <top style="thick">
        <color theme="3" tint="0.249977111117893"/>
      </top>
      <bottom style="mediumDashDot">
        <color theme="3" tint="0.249977111117893"/>
      </bottom>
      <diagonal/>
    </border>
  </borders>
  <cellStyleXfs count="2">
    <xf numFmtId="0" fontId="0" fillId="0" borderId="0"/>
    <xf numFmtId="42" fontId="11" fillId="0" borderId="0" applyFont="0" applyFill="0" applyBorder="0" applyAlignment="0" applyProtection="0"/>
  </cellStyleXfs>
  <cellXfs count="73">
    <xf numFmtId="0" fontId="0" fillId="0" borderId="0" xfId="0"/>
    <xf numFmtId="14" fontId="0" fillId="0" borderId="0" xfId="0" applyNumberFormat="1"/>
    <xf numFmtId="0" fontId="0" fillId="0" borderId="2" xfId="0" applyBorder="1"/>
    <xf numFmtId="0" fontId="1" fillId="0" borderId="4" xfId="0" applyFont="1" applyBorder="1" applyAlignment="1">
      <alignment horizontal="centerContinuous"/>
    </xf>
    <xf numFmtId="0" fontId="0" fillId="0" borderId="5" xfId="0" applyBorder="1"/>
    <xf numFmtId="4" fontId="0" fillId="0" borderId="5" xfId="0" applyNumberFormat="1" applyBorder="1"/>
    <xf numFmtId="0" fontId="3" fillId="3" borderId="5" xfId="0" applyFont="1" applyFill="1" applyBorder="1"/>
    <xf numFmtId="0" fontId="4" fillId="0" borderId="5" xfId="0" applyFont="1" applyBorder="1"/>
    <xf numFmtId="4" fontId="4" fillId="0" borderId="5" xfId="0" applyNumberFormat="1" applyFont="1" applyBorder="1"/>
    <xf numFmtId="0" fontId="3" fillId="5" borderId="5" xfId="0" applyFont="1" applyFill="1" applyBorder="1"/>
    <xf numFmtId="164" fontId="0" fillId="0" borderId="5" xfId="0" applyNumberFormat="1" applyBorder="1"/>
    <xf numFmtId="0" fontId="5" fillId="2" borderId="5" xfId="0" applyFont="1" applyFill="1" applyBorder="1"/>
    <xf numFmtId="0" fontId="0" fillId="3" borderId="5" xfId="0" applyFill="1" applyBorder="1"/>
    <xf numFmtId="0" fontId="0" fillId="0" borderId="5" xfId="0" applyBorder="1" applyAlignment="1">
      <alignment wrapText="1"/>
    </xf>
    <xf numFmtId="0" fontId="4" fillId="0" borderId="0" xfId="0" applyFont="1"/>
    <xf numFmtId="0" fontId="6" fillId="6" borderId="1" xfId="0" applyFont="1" applyFill="1" applyBorder="1" applyAlignment="1">
      <alignment horizontal="left"/>
    </xf>
    <xf numFmtId="0" fontId="7" fillId="6" borderId="1" xfId="0" applyFont="1" applyFill="1" applyBorder="1" applyAlignment="1">
      <alignment horizontal="right"/>
    </xf>
    <xf numFmtId="0" fontId="6" fillId="6" borderId="6" xfId="0" applyFont="1" applyFill="1" applyBorder="1" applyAlignment="1">
      <alignment horizontal="left"/>
    </xf>
    <xf numFmtId="0" fontId="7" fillId="6" borderId="6" xfId="0" applyFont="1" applyFill="1" applyBorder="1" applyAlignment="1">
      <alignment horizontal="right"/>
    </xf>
    <xf numFmtId="0" fontId="8" fillId="7" borderId="0" xfId="0" applyFont="1" applyFill="1" applyAlignment="1">
      <alignment horizontal="left"/>
    </xf>
    <xf numFmtId="0" fontId="9" fillId="0" borderId="0" xfId="0" applyFont="1" applyAlignment="1">
      <alignment vertical="top" wrapText="1"/>
    </xf>
    <xf numFmtId="0" fontId="10" fillId="7" borderId="3" xfId="0" applyFont="1" applyFill="1" applyBorder="1" applyAlignment="1">
      <alignment horizontal="left"/>
    </xf>
    <xf numFmtId="0" fontId="4" fillId="0" borderId="3" xfId="0" applyFont="1" applyBorder="1"/>
    <xf numFmtId="4" fontId="4" fillId="0" borderId="0" xfId="0" applyNumberFormat="1" applyFont="1"/>
    <xf numFmtId="4" fontId="4" fillId="8" borderId="0" xfId="0" applyNumberFormat="1" applyFont="1" applyFill="1"/>
    <xf numFmtId="0" fontId="8" fillId="7" borderId="2" xfId="0" applyFont="1" applyFill="1" applyBorder="1" applyAlignment="1">
      <alignment horizontal="left"/>
    </xf>
    <xf numFmtId="0" fontId="4" fillId="0" borderId="2" xfId="0" applyFont="1"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0" xfId="0" pivotButton="1"/>
    <xf numFmtId="0" fontId="0" fillId="0" borderId="0" xfId="0" applyAlignment="1">
      <alignment horizontal="left"/>
    </xf>
    <xf numFmtId="0" fontId="2" fillId="4" borderId="5" xfId="0" applyFont="1" applyFill="1" applyBorder="1" applyAlignment="1">
      <alignment horizontal="center"/>
    </xf>
    <xf numFmtId="0" fontId="0" fillId="0" borderId="0" xfId="0" applyNumberFormat="1"/>
    <xf numFmtId="0" fontId="0" fillId="9" borderId="0" xfId="0" applyFill="1"/>
    <xf numFmtId="0" fontId="0" fillId="10" borderId="0" xfId="0" applyFill="1"/>
    <xf numFmtId="0" fontId="0" fillId="10" borderId="0" xfId="0" applyFill="1" applyBorder="1"/>
    <xf numFmtId="0" fontId="14" fillId="0" borderId="0" xfId="0" applyFont="1" applyAlignment="1">
      <alignment horizontal="center"/>
    </xf>
    <xf numFmtId="0" fontId="13" fillId="11" borderId="0" xfId="0" applyFont="1" applyFill="1" applyAlignment="1">
      <alignment horizontal="center" vertical="center" wrapText="1"/>
    </xf>
    <xf numFmtId="166" fontId="0" fillId="0" borderId="17" xfId="1" applyNumberFormat="1" applyFont="1" applyBorder="1" applyAlignment="1">
      <alignment horizontal="center"/>
    </xf>
    <xf numFmtId="166" fontId="0" fillId="0" borderId="18" xfId="1" applyNumberFormat="1" applyFont="1" applyBorder="1" applyAlignment="1">
      <alignment horizontal="center"/>
    </xf>
    <xf numFmtId="166" fontId="0" fillId="0" borderId="19" xfId="1" applyNumberFormat="1" applyFont="1" applyBorder="1" applyAlignment="1">
      <alignment horizontal="center"/>
    </xf>
    <xf numFmtId="166" fontId="0" fillId="10" borderId="16" xfId="0" applyNumberFormat="1" applyFill="1" applyBorder="1" applyAlignment="1">
      <alignment horizontal="center"/>
    </xf>
    <xf numFmtId="3" fontId="0" fillId="10" borderId="17" xfId="0" applyNumberFormat="1" applyFill="1" applyBorder="1" applyAlignment="1">
      <alignment horizontal="center"/>
    </xf>
    <xf numFmtId="3" fontId="0" fillId="10" borderId="18" xfId="0" applyNumberFormat="1" applyFill="1" applyBorder="1" applyAlignment="1">
      <alignment horizontal="center"/>
    </xf>
    <xf numFmtId="3" fontId="0" fillId="10" borderId="19" xfId="0" applyNumberFormat="1" applyFill="1" applyBorder="1" applyAlignment="1">
      <alignment horizontal="center"/>
    </xf>
    <xf numFmtId="0" fontId="15" fillId="9" borderId="0" xfId="0" applyFont="1" applyFill="1" applyAlignment="1">
      <alignment horizontal="center"/>
    </xf>
    <xf numFmtId="0" fontId="16" fillId="9" borderId="0" xfId="0" applyFont="1" applyFill="1" applyAlignment="1"/>
    <xf numFmtId="0" fontId="17" fillId="0" borderId="0" xfId="0" applyFont="1"/>
    <xf numFmtId="0" fontId="18" fillId="0" borderId="0" xfId="0" applyFont="1"/>
    <xf numFmtId="0" fontId="12" fillId="9" borderId="0" xfId="0" applyFont="1" applyFill="1"/>
    <xf numFmtId="0" fontId="12" fillId="0" borderId="16" xfId="0" applyFont="1" applyBorder="1" applyAlignment="1">
      <alignment horizontal="left" vertical="top" wrapText="1" indent="1"/>
    </xf>
    <xf numFmtId="0" fontId="12" fillId="0" borderId="0" xfId="0" applyFont="1"/>
    <xf numFmtId="0" fontId="0" fillId="0" borderId="0" xfId="0" applyBorder="1"/>
    <xf numFmtId="0" fontId="0" fillId="0" borderId="20" xfId="0" applyBorder="1"/>
    <xf numFmtId="0" fontId="0" fillId="10" borderId="20" xfId="0" applyFill="1" applyBorder="1"/>
    <xf numFmtId="0" fontId="0" fillId="0" borderId="21" xfId="0" applyBorder="1"/>
    <xf numFmtId="0" fontId="12" fillId="0" borderId="22" xfId="0" applyFont="1" applyBorder="1" applyAlignment="1">
      <alignment horizontal="center" vertical="top" wrapText="1"/>
    </xf>
    <xf numFmtId="0" fontId="12" fillId="0" borderId="23" xfId="0" applyFont="1" applyBorder="1" applyAlignment="1">
      <alignment horizontal="center" vertical="top" wrapText="1"/>
    </xf>
    <xf numFmtId="0" fontId="12" fillId="0" borderId="24" xfId="0" applyFont="1" applyBorder="1" applyAlignment="1">
      <alignment horizontal="center" vertical="top" wrapText="1"/>
    </xf>
    <xf numFmtId="0" fontId="12" fillId="0" borderId="25" xfId="0" applyFont="1" applyBorder="1" applyAlignment="1">
      <alignment horizontal="center" vertical="top" wrapText="1"/>
    </xf>
    <xf numFmtId="0" fontId="12" fillId="0" borderId="26" xfId="0" applyFont="1" applyBorder="1" applyAlignment="1">
      <alignment horizontal="center" vertical="top" wrapText="1"/>
    </xf>
    <xf numFmtId="0" fontId="12" fillId="0" borderId="27" xfId="0" applyFont="1" applyBorder="1" applyAlignment="1">
      <alignment horizontal="center" vertical="top" wrapText="1"/>
    </xf>
    <xf numFmtId="0" fontId="12" fillId="0" borderId="28" xfId="0" applyFont="1" applyBorder="1" applyAlignment="1">
      <alignment horizontal="center" vertical="top" wrapText="1"/>
    </xf>
    <xf numFmtId="0" fontId="12" fillId="0" borderId="29" xfId="0" applyFont="1" applyBorder="1" applyAlignment="1">
      <alignment horizontal="center" vertical="top" wrapText="1"/>
    </xf>
    <xf numFmtId="0" fontId="12" fillId="0" borderId="30" xfId="0" applyFont="1" applyBorder="1" applyAlignment="1">
      <alignment horizontal="center" vertical="top" wrapText="1"/>
    </xf>
    <xf numFmtId="0" fontId="20" fillId="0" borderId="0" xfId="0" applyFont="1" applyAlignment="1">
      <alignment horizontal="center" wrapText="1"/>
    </xf>
  </cellXfs>
  <cellStyles count="2">
    <cellStyle name="Moneda [0]" xfId="1" builtinId="7"/>
    <cellStyle name="Normal" xfId="0" builtinId="0"/>
  </cellStyles>
  <dxfs count="7">
    <dxf>
      <fill>
        <patternFill>
          <bgColor theme="9" tint="0.59996337778862885"/>
        </patternFill>
      </fill>
    </dxf>
    <dxf>
      <fill>
        <patternFill>
          <bgColor rgb="FFF33F3F"/>
        </patternFill>
      </fill>
    </dxf>
    <dxf>
      <numFmt numFmtId="0" formatCode="General"/>
    </dxf>
    <dxf>
      <numFmt numFmtId="19" formatCode="dd/mm/yyyy"/>
    </dxf>
    <dxf>
      <numFmt numFmtId="0" formatCode="General"/>
    </dxf>
    <dxf>
      <numFmt numFmtId="0" formatCode="General"/>
    </dxf>
    <dxf>
      <numFmt numFmtId="0" formatCode="General"/>
    </dxf>
  </dxfs>
  <tableStyles count="0" defaultTableStyle="TableStyleMedium2" defaultPivotStyle="PivotStyleLight16"/>
  <colors>
    <mruColors>
      <color rgb="FFF33F3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4.xml"/><Relationship Id="rId18" Type="http://schemas.openxmlformats.org/officeDocument/2006/relationships/connections" Target="connections.xml"/><Relationship Id="rId26" Type="http://schemas.openxmlformats.org/officeDocument/2006/relationships/customXml" Target="../customXml/item4.xml"/><Relationship Id="rId39" Type="http://schemas.openxmlformats.org/officeDocument/2006/relationships/customXml" Target="../customXml/item17.xml"/><Relationship Id="rId21" Type="http://schemas.openxmlformats.org/officeDocument/2006/relationships/powerPivotData" Target="model/item.data"/><Relationship Id="rId34" Type="http://schemas.openxmlformats.org/officeDocument/2006/relationships/customXml" Target="../customXml/item12.xml"/><Relationship Id="rId42" Type="http://schemas.openxmlformats.org/officeDocument/2006/relationships/customXml" Target="../customXml/item20.xml"/><Relationship Id="rId47" Type="http://schemas.openxmlformats.org/officeDocument/2006/relationships/customXml" Target="../customXml/item25.xml"/><Relationship Id="rId7" Type="http://schemas.openxmlformats.org/officeDocument/2006/relationships/worksheet" Target="worksheets/sheet7.xml"/><Relationship Id="rId2" Type="http://schemas.openxmlformats.org/officeDocument/2006/relationships/worksheet" Target="worksheets/sheet2.xml"/><Relationship Id="rId16" Type="http://schemas.microsoft.com/office/2007/relationships/slicerCache" Target="slicerCaches/slicerCache2.xml"/><Relationship Id="rId29" Type="http://schemas.openxmlformats.org/officeDocument/2006/relationships/customXml" Target="../customXml/item7.xml"/><Relationship Id="rId11" Type="http://schemas.openxmlformats.org/officeDocument/2006/relationships/pivotCacheDefinition" Target="pivotCache/pivotCacheDefinition2.xml"/><Relationship Id="rId24" Type="http://schemas.openxmlformats.org/officeDocument/2006/relationships/customXml" Target="../customXml/item2.xml"/><Relationship Id="rId32" Type="http://schemas.openxmlformats.org/officeDocument/2006/relationships/customXml" Target="../customXml/item10.xml"/><Relationship Id="rId37" Type="http://schemas.openxmlformats.org/officeDocument/2006/relationships/customXml" Target="../customXml/item15.xml"/><Relationship Id="rId40" Type="http://schemas.openxmlformats.org/officeDocument/2006/relationships/customXml" Target="../customXml/item18.xml"/><Relationship Id="rId45" Type="http://schemas.openxmlformats.org/officeDocument/2006/relationships/customXml" Target="../customXml/item23.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customXml" Target="../customXml/item1.xml"/><Relationship Id="rId28" Type="http://schemas.openxmlformats.org/officeDocument/2006/relationships/customXml" Target="../customXml/item6.xml"/><Relationship Id="rId36" Type="http://schemas.openxmlformats.org/officeDocument/2006/relationships/customXml" Target="../customXml/item14.xml"/><Relationship Id="rId49" Type="http://schemas.openxmlformats.org/officeDocument/2006/relationships/customXml" Target="../customXml/item27.xml"/><Relationship Id="rId10" Type="http://schemas.openxmlformats.org/officeDocument/2006/relationships/pivotCacheDefinition" Target="pivotCache/pivotCacheDefinition1.xml"/><Relationship Id="rId19" Type="http://schemas.openxmlformats.org/officeDocument/2006/relationships/styles" Target="styles.xml"/><Relationship Id="rId31" Type="http://schemas.openxmlformats.org/officeDocument/2006/relationships/customXml" Target="../customXml/item9.xml"/><Relationship Id="rId44" Type="http://schemas.openxmlformats.org/officeDocument/2006/relationships/customXml" Target="../customXml/item2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5.xml"/><Relationship Id="rId22" Type="http://schemas.openxmlformats.org/officeDocument/2006/relationships/calcChain" Target="calcChain.xml"/><Relationship Id="rId27" Type="http://schemas.openxmlformats.org/officeDocument/2006/relationships/customXml" Target="../customXml/item5.xml"/><Relationship Id="rId30" Type="http://schemas.openxmlformats.org/officeDocument/2006/relationships/customXml" Target="../customXml/item8.xml"/><Relationship Id="rId35" Type="http://schemas.openxmlformats.org/officeDocument/2006/relationships/customXml" Target="../customXml/item13.xml"/><Relationship Id="rId43" Type="http://schemas.openxmlformats.org/officeDocument/2006/relationships/customXml" Target="../customXml/item21.xml"/><Relationship Id="rId48" Type="http://schemas.openxmlformats.org/officeDocument/2006/relationships/customXml" Target="../customXml/item26.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pivotCacheDefinition" Target="pivotCache/pivotCacheDefinition3.xml"/><Relationship Id="rId17" Type="http://schemas.openxmlformats.org/officeDocument/2006/relationships/theme" Target="theme/theme1.xml"/><Relationship Id="rId25" Type="http://schemas.openxmlformats.org/officeDocument/2006/relationships/customXml" Target="../customXml/item3.xml"/><Relationship Id="rId33" Type="http://schemas.openxmlformats.org/officeDocument/2006/relationships/customXml" Target="../customXml/item11.xml"/><Relationship Id="rId38" Type="http://schemas.openxmlformats.org/officeDocument/2006/relationships/customXml" Target="../customXml/item16.xml"/><Relationship Id="rId46" Type="http://schemas.openxmlformats.org/officeDocument/2006/relationships/customXml" Target="../customXml/item24.xml"/><Relationship Id="rId20" Type="http://schemas.openxmlformats.org/officeDocument/2006/relationships/sharedStrings" Target="sharedStrings.xml"/><Relationship Id="rId41" Type="http://schemas.openxmlformats.org/officeDocument/2006/relationships/customXml" Target="../customXml/item19.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[PreEntrega9_BustosMarcela.xlsx]Hoja3!TablaDinámica2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L"/>
              <a:t>Evolución Mensual de Ventas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L"/>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Hoja3!$B$3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Hoja3!$A$4:$A$10</c:f>
              <c:strCache>
                <c:ptCount val="6"/>
                <c:pt idx="0">
                  <c:v>abril</c:v>
                </c:pt>
                <c:pt idx="1">
                  <c:v>enero</c:v>
                </c:pt>
                <c:pt idx="2">
                  <c:v>febrero</c:v>
                </c:pt>
                <c:pt idx="3">
                  <c:v>junio</c:v>
                </c:pt>
                <c:pt idx="4">
                  <c:v>marzo</c:v>
                </c:pt>
                <c:pt idx="5">
                  <c:v>mayo</c:v>
                </c:pt>
              </c:strCache>
            </c:strRef>
          </c:cat>
          <c:val>
            <c:numRef>
              <c:f>Hoja3!$B$4:$B$10</c:f>
              <c:numCache>
                <c:formatCode>General</c:formatCode>
                <c:ptCount val="6"/>
                <c:pt idx="0">
                  <c:v>777438000</c:v>
                </c:pt>
                <c:pt idx="1">
                  <c:v>789744500</c:v>
                </c:pt>
                <c:pt idx="2">
                  <c:v>881921000</c:v>
                </c:pt>
                <c:pt idx="3">
                  <c:v>917476500</c:v>
                </c:pt>
                <c:pt idx="4">
                  <c:v>689315500</c:v>
                </c:pt>
                <c:pt idx="5">
                  <c:v>901599500</c:v>
                </c:pt>
              </c:numCache>
            </c:numRef>
          </c:val>
          <c:smooth val="0"/>
          <c:extLst>
            <c:ext xmlns:c16="http://schemas.microsoft.com/office/drawing/2014/chart" uri="{C3380CC4-5D6E-409C-BE32-E72D297353CC}">
              <c16:uniqueId val="{00000000-EE33-4072-84AF-B1173D524BC3}"/>
            </c:ext>
          </c:extLst>
        </c:ser>
        <c:dLbls>
          <c:showLegendKey val="0"/>
          <c:showVal val="0"/>
          <c:showCatName val="0"/>
          <c:showSerName val="0"/>
          <c:showPercent val="0"/>
          <c:showBubbleSize val="0"/>
        </c:dLbls>
        <c:marker val="1"/>
        <c:smooth val="0"/>
        <c:axId val="1111010239"/>
        <c:axId val="1791833007"/>
      </c:lineChart>
      <c:catAx>
        <c:axId val="11110102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1791833007"/>
        <c:crosses val="autoZero"/>
        <c:auto val="1"/>
        <c:lblAlgn val="ctr"/>
        <c:lblOffset val="100"/>
        <c:noMultiLvlLbl val="0"/>
      </c:catAx>
      <c:valAx>
        <c:axId val="17918330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11110102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L"/>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[PreEntrega9_BustosMarcela.xlsx]Hoja3!TablaDinámica3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L"/>
              <a:t>Ventas por Categorías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L"/>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Hoja3!$E$3</c:f>
              <c:strCache>
                <c:ptCount val="1"/>
                <c:pt idx="0">
                  <c:v>Total</c:v>
                </c:pt>
              </c:strCache>
            </c:strRef>
          </c:tx>
          <c:spPr>
            <a:solidFill>
              <a:schemeClr val="accent1"/>
            </a:solidFill>
            <a:ln>
              <a:noFill/>
            </a:ln>
            <a:effectLst/>
          </c:spPr>
          <c:invertIfNegative val="0"/>
          <c:cat>
            <c:strRef>
              <c:f>Hoja3!$D$4:$D$7</c:f>
              <c:strCache>
                <c:ptCount val="3"/>
                <c:pt idx="0">
                  <c:v>Accesorios</c:v>
                </c:pt>
                <c:pt idx="1">
                  <c:v>Mobiliario</c:v>
                </c:pt>
                <c:pt idx="2">
                  <c:v>Tecnologia</c:v>
                </c:pt>
              </c:strCache>
            </c:strRef>
          </c:cat>
          <c:val>
            <c:numRef>
              <c:f>Hoja3!$E$4:$E$7</c:f>
              <c:numCache>
                <c:formatCode>General</c:formatCode>
                <c:ptCount val="3"/>
                <c:pt idx="0">
                  <c:v>380979000</c:v>
                </c:pt>
                <c:pt idx="1">
                  <c:v>1456106000</c:v>
                </c:pt>
                <c:pt idx="2">
                  <c:v>3120410000</c:v>
                </c:pt>
              </c:numCache>
            </c:numRef>
          </c:val>
          <c:extLst>
            <c:ext xmlns:c16="http://schemas.microsoft.com/office/drawing/2014/chart" uri="{C3380CC4-5D6E-409C-BE32-E72D297353CC}">
              <c16:uniqueId val="{00000000-F8B4-4B15-8F67-18B2C3AFEEC9}"/>
            </c:ext>
          </c:extLst>
        </c:ser>
        <c:dLbls>
          <c:showLegendKey val="0"/>
          <c:showVal val="0"/>
          <c:showCatName val="0"/>
          <c:showSerName val="0"/>
          <c:showPercent val="0"/>
          <c:showBubbleSize val="0"/>
        </c:dLbls>
        <c:gapWidth val="219"/>
        <c:overlap val="-27"/>
        <c:axId val="1034032527"/>
        <c:axId val="1791863247"/>
      </c:barChart>
      <c:catAx>
        <c:axId val="10340325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1791863247"/>
        <c:crosses val="autoZero"/>
        <c:auto val="1"/>
        <c:lblAlgn val="ctr"/>
        <c:lblOffset val="100"/>
        <c:noMultiLvlLbl val="0"/>
      </c:catAx>
      <c:valAx>
        <c:axId val="17918632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10340325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L"/>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[PreEntrega9_BustosMarcela.xlsx]Hoja3!TablaDinámica4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L"/>
              <a:t>Margen Neto por Producto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L"/>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Hoja3!$H$3</c:f>
              <c:strCache>
                <c:ptCount val="1"/>
                <c:pt idx="0">
                  <c:v>Total</c:v>
                </c:pt>
              </c:strCache>
            </c:strRef>
          </c:tx>
          <c:spPr>
            <a:solidFill>
              <a:schemeClr val="accent1"/>
            </a:solidFill>
            <a:ln>
              <a:noFill/>
            </a:ln>
            <a:effectLst/>
          </c:spPr>
          <c:invertIfNegative val="0"/>
          <c:cat>
            <c:strRef>
              <c:f>Hoja3!$G$4:$G$10</c:f>
              <c:strCache>
                <c:ptCount val="6"/>
                <c:pt idx="0">
                  <c:v>Escritorio Ejecutivo</c:v>
                </c:pt>
                <c:pt idx="1">
                  <c:v>Laptop Pro</c:v>
                </c:pt>
                <c:pt idx="2">
                  <c:v>Monitor 27</c:v>
                </c:pt>
                <c:pt idx="3">
                  <c:v>Mouse Inalambrico</c:v>
                </c:pt>
                <c:pt idx="4">
                  <c:v>Silla Ergonomica</c:v>
                </c:pt>
                <c:pt idx="5">
                  <c:v>Teclado Mecanico</c:v>
                </c:pt>
              </c:strCache>
            </c:strRef>
          </c:cat>
          <c:val>
            <c:numRef>
              <c:f>Hoja3!$H$4:$H$10</c:f>
              <c:numCache>
                <c:formatCode>General</c:formatCode>
                <c:ptCount val="6"/>
                <c:pt idx="0">
                  <c:v>256850000</c:v>
                </c:pt>
                <c:pt idx="1">
                  <c:v>406130000</c:v>
                </c:pt>
                <c:pt idx="2">
                  <c:v>150780000</c:v>
                </c:pt>
                <c:pt idx="3">
                  <c:v>39952000</c:v>
                </c:pt>
                <c:pt idx="4">
                  <c:v>186756000</c:v>
                </c:pt>
                <c:pt idx="5">
                  <c:v>87417000</c:v>
                </c:pt>
              </c:numCache>
            </c:numRef>
          </c:val>
          <c:extLst>
            <c:ext xmlns:c16="http://schemas.microsoft.com/office/drawing/2014/chart" uri="{C3380CC4-5D6E-409C-BE32-E72D297353CC}">
              <c16:uniqueId val="{00000000-8B94-482E-99B0-86404F98CA35}"/>
            </c:ext>
          </c:extLst>
        </c:ser>
        <c:dLbls>
          <c:showLegendKey val="0"/>
          <c:showVal val="0"/>
          <c:showCatName val="0"/>
          <c:showSerName val="0"/>
          <c:showPercent val="0"/>
          <c:showBubbleSize val="0"/>
        </c:dLbls>
        <c:gapWidth val="182"/>
        <c:axId val="1034094703"/>
        <c:axId val="1058765807"/>
      </c:barChart>
      <c:catAx>
        <c:axId val="10340947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1058765807"/>
        <c:crosses val="autoZero"/>
        <c:auto val="1"/>
        <c:lblAlgn val="ctr"/>
        <c:lblOffset val="100"/>
        <c:noMultiLvlLbl val="0"/>
      </c:catAx>
      <c:valAx>
        <c:axId val="10587658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10340947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L"/>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[PreEntrega9_BustosMarcela.xlsx]Hoja3!TablaDinámica2</c:name>
    <c:fmtId val="2"/>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s-CL"/>
              <a:t>Evolución Mensual de Ventas</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s-CL"/>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8100" cap="flat" cmpd="dbl" algn="ctr">
            <a:solidFill>
              <a:schemeClr val="accent1"/>
            </a:solidFill>
            <a:miter lim="800000"/>
          </a:ln>
          <a:effectLst/>
        </c:spPr>
        <c:marker>
          <c:symbol val="circle"/>
          <c:size val="6"/>
          <c:spPr>
            <a:solidFill>
              <a:schemeClr val="accent1"/>
            </a:solidFill>
            <a:ln w="9525" cap="flat" cmpd="sng" algn="ctr">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ct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521355657375901"/>
          <c:y val="0.24476633129192185"/>
          <c:w val="0.68264604599932033"/>
          <c:h val="0.53811424613589964"/>
        </c:manualLayout>
      </c:layout>
      <c:lineChart>
        <c:grouping val="standard"/>
        <c:varyColors val="0"/>
        <c:ser>
          <c:idx val="0"/>
          <c:order val="0"/>
          <c:tx>
            <c:strRef>
              <c:f>Hoja3!$B$3</c:f>
              <c:strCache>
                <c:ptCount val="1"/>
                <c:pt idx="0">
                  <c:v>Total</c:v>
                </c:pt>
              </c:strCache>
            </c:strRef>
          </c:tx>
          <c:spPr>
            <a:ln w="38100" cap="flat" cmpd="dbl" algn="ctr">
              <a:solidFill>
                <a:schemeClr val="accent1"/>
              </a:solidFill>
              <a:miter lim="800000"/>
            </a:ln>
            <a:effectLst/>
          </c:spPr>
          <c:marker>
            <c:symbol val="circle"/>
            <c:size val="6"/>
            <c:spPr>
              <a:solidFill>
                <a:schemeClr val="accent1"/>
              </a:solidFill>
              <a:ln w="9525" cap="flat" cmpd="sng" algn="ctr">
                <a:solidFill>
                  <a:schemeClr val="lt1"/>
                </a:solidFill>
                <a:round/>
              </a:ln>
              <a:effectLst/>
            </c:spPr>
          </c:marker>
          <c:cat>
            <c:strRef>
              <c:f>Hoja3!$A$4:$A$10</c:f>
              <c:strCache>
                <c:ptCount val="6"/>
                <c:pt idx="0">
                  <c:v>abril</c:v>
                </c:pt>
                <c:pt idx="1">
                  <c:v>enero</c:v>
                </c:pt>
                <c:pt idx="2">
                  <c:v>febrero</c:v>
                </c:pt>
                <c:pt idx="3">
                  <c:v>junio</c:v>
                </c:pt>
                <c:pt idx="4">
                  <c:v>marzo</c:v>
                </c:pt>
                <c:pt idx="5">
                  <c:v>mayo</c:v>
                </c:pt>
              </c:strCache>
            </c:strRef>
          </c:cat>
          <c:val>
            <c:numRef>
              <c:f>Hoja3!$B$4:$B$10</c:f>
              <c:numCache>
                <c:formatCode>General</c:formatCode>
                <c:ptCount val="6"/>
                <c:pt idx="0">
                  <c:v>777438000</c:v>
                </c:pt>
                <c:pt idx="1">
                  <c:v>789744500</c:v>
                </c:pt>
                <c:pt idx="2">
                  <c:v>881921000</c:v>
                </c:pt>
                <c:pt idx="3">
                  <c:v>917476500</c:v>
                </c:pt>
                <c:pt idx="4">
                  <c:v>689315500</c:v>
                </c:pt>
                <c:pt idx="5">
                  <c:v>901599500</c:v>
                </c:pt>
              </c:numCache>
            </c:numRef>
          </c:val>
          <c:smooth val="0"/>
          <c:extLst>
            <c:ext xmlns:c16="http://schemas.microsoft.com/office/drawing/2014/chart" uri="{C3380CC4-5D6E-409C-BE32-E72D297353CC}">
              <c16:uniqueId val="{00000000-EA85-4206-AD29-050D8BFD4181}"/>
            </c:ext>
          </c:extLst>
        </c:ser>
        <c:dLbls>
          <c:dLblPos val="ctr"/>
          <c:showLegendKey val="0"/>
          <c:showVal val="0"/>
          <c:showCatName val="0"/>
          <c:showSerName val="0"/>
          <c:showPercent val="0"/>
          <c:showBubbleSize val="0"/>
        </c:dLbls>
        <c:marker val="1"/>
        <c:smooth val="0"/>
        <c:axId val="1111010239"/>
        <c:axId val="1791833007"/>
      </c:lineChart>
      <c:catAx>
        <c:axId val="1111010239"/>
        <c:scaling>
          <c:orientation val="minMax"/>
        </c:scaling>
        <c:delete val="0"/>
        <c:axPos val="b"/>
        <c:majorGridlines>
          <c:spPr>
            <a:ln w="9525" cap="flat" cmpd="sng" algn="ctr">
              <a:solidFill>
                <a:schemeClr val="tx1">
                  <a:lumMod val="15000"/>
                  <a:lumOff val="85000"/>
                  <a:alpha val="32000"/>
                </a:schemeClr>
              </a:solidFill>
              <a:round/>
            </a:ln>
            <a:effectLst/>
          </c:spPr>
        </c:majorGridlines>
        <c:numFmt formatCode="General" sourceLinked="1"/>
        <c:majorTickMark val="none"/>
        <c:minorTickMark val="none"/>
        <c:tickLblPos val="nextTo"/>
        <c:spPr>
          <a:noFill/>
          <a:ln w="3175" cap="flat" cmpd="sng" algn="ctr">
            <a:solidFill>
              <a:schemeClr val="tx1">
                <a:lumMod val="15000"/>
                <a:lumOff val="85000"/>
              </a:schemeClr>
            </a:solidFill>
            <a:round/>
            <a:tailEnd type="none" w="med" len="lg"/>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1791833007"/>
        <c:crosses val="autoZero"/>
        <c:auto val="1"/>
        <c:lblAlgn val="ctr"/>
        <c:lblOffset val="100"/>
        <c:noMultiLvlLbl val="0"/>
      </c:catAx>
      <c:valAx>
        <c:axId val="1791833007"/>
        <c:scaling>
          <c:orientation val="minMax"/>
        </c:scaling>
        <c:delete val="0"/>
        <c:axPos val="l"/>
        <c:majorGridlines>
          <c:spPr>
            <a:ln w="9525" cap="flat" cmpd="sng" algn="ctr">
              <a:solidFill>
                <a:schemeClr val="tx1">
                  <a:lumMod val="15000"/>
                  <a:lumOff val="85000"/>
                  <a:alpha val="32000"/>
                </a:schemeClr>
              </a:solidFill>
              <a:round/>
            </a:ln>
            <a:effectLst/>
          </c:spPr>
        </c:majorGridlines>
        <c:numFmt formatCode="General" sourceLinked="1"/>
        <c:majorTickMark val="none"/>
        <c:minorTickMark val="none"/>
        <c:tickLblPos val="nextTo"/>
        <c:spPr>
          <a:noFill/>
          <a:ln w="3175" cap="flat" cmpd="sng" algn="ctr">
            <a:solidFill>
              <a:schemeClr val="tx1">
                <a:lumMod val="15000"/>
                <a:lumOff val="85000"/>
              </a:schemeClr>
            </a:solidFill>
            <a:round/>
            <a:tailEnd type="none" w="med" len="lg"/>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11110102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L"/>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[PreEntrega9_BustosMarcela.xlsx]Hoja3!TablaDinámica3</c:name>
    <c:fmtId val="2"/>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s-CL"/>
              <a:t>Ventas por Categorías</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s-CL"/>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circle"/>
          <c:size val="6"/>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Hoja3!$E$3</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invertIfNegative val="0"/>
          <c:cat>
            <c:strRef>
              <c:f>Hoja3!$D$4:$D$7</c:f>
              <c:strCache>
                <c:ptCount val="3"/>
                <c:pt idx="0">
                  <c:v>Accesorios</c:v>
                </c:pt>
                <c:pt idx="1">
                  <c:v>Mobiliario</c:v>
                </c:pt>
                <c:pt idx="2">
                  <c:v>Tecnologia</c:v>
                </c:pt>
              </c:strCache>
            </c:strRef>
          </c:cat>
          <c:val>
            <c:numRef>
              <c:f>Hoja3!$E$4:$E$7</c:f>
              <c:numCache>
                <c:formatCode>General</c:formatCode>
                <c:ptCount val="3"/>
                <c:pt idx="0">
                  <c:v>380979000</c:v>
                </c:pt>
                <c:pt idx="1">
                  <c:v>1456106000</c:v>
                </c:pt>
                <c:pt idx="2">
                  <c:v>3120410000</c:v>
                </c:pt>
              </c:numCache>
            </c:numRef>
          </c:val>
          <c:extLst>
            <c:ext xmlns:c16="http://schemas.microsoft.com/office/drawing/2014/chart" uri="{C3380CC4-5D6E-409C-BE32-E72D297353CC}">
              <c16:uniqueId val="{00000000-5AD4-4EE1-8560-D505B20F0227}"/>
            </c:ext>
          </c:extLst>
        </c:ser>
        <c:dLbls>
          <c:showLegendKey val="0"/>
          <c:showVal val="0"/>
          <c:showCatName val="0"/>
          <c:showSerName val="0"/>
          <c:showPercent val="0"/>
          <c:showBubbleSize val="0"/>
        </c:dLbls>
        <c:gapWidth val="355"/>
        <c:overlap val="-70"/>
        <c:axId val="1034032527"/>
        <c:axId val="1791863247"/>
      </c:barChart>
      <c:catAx>
        <c:axId val="10340325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1791863247"/>
        <c:crosses val="autoZero"/>
        <c:auto val="1"/>
        <c:lblAlgn val="ctr"/>
        <c:lblOffset val="100"/>
        <c:noMultiLvlLbl val="0"/>
      </c:catAx>
      <c:valAx>
        <c:axId val="1791863247"/>
        <c:scaling>
          <c:orientation val="minMax"/>
        </c:scaling>
        <c:delete val="0"/>
        <c:axPos val="l"/>
        <c:majorGridlines>
          <c:spPr>
            <a:ln w="9525" cap="flat" cmpd="sng" algn="ctr">
              <a:gradFill>
                <a:gsLst>
                  <a:gs pos="100000">
                    <a:schemeClr val="tx1">
                      <a:lumMod val="5000"/>
                      <a:lumOff val="95000"/>
                    </a:schemeClr>
                  </a:gs>
                  <a:gs pos="0">
                    <a:schemeClr val="tx1">
                      <a:lumMod val="25000"/>
                      <a:lumOff val="7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10340325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L"/>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[PreEntrega9_BustosMarcela.xlsx]Hoja3!TablaDinámica4</c:name>
    <c:fmtId val="2"/>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s-CL"/>
              <a:t>Margen Neto por Producto</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s-CL"/>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circle"/>
          <c:size val="6"/>
          <c:spPr>
            <a:gradFill>
              <a:gsLst>
                <a:gs pos="0">
                  <a:schemeClr val="accent1"/>
                </a:gs>
                <a:gs pos="46000">
                  <a:schemeClr val="accent1"/>
                </a:gs>
                <a:gs pos="100000">
                  <a:schemeClr val="accent1">
                    <a:lumMod val="20000"/>
                    <a:lumOff val="80000"/>
                    <a:alpha val="0"/>
                  </a:schemeClr>
                </a:gs>
              </a:gsLst>
              <a:path path="circle">
                <a:fillToRect l="50000" t="-80000" r="50000" b="180000"/>
              </a:path>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Hoja3!$H$3</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invertIfNegative val="0"/>
          <c:cat>
            <c:strRef>
              <c:f>Hoja3!$G$4:$G$10</c:f>
              <c:strCache>
                <c:ptCount val="6"/>
                <c:pt idx="0">
                  <c:v>Escritorio Ejecutivo</c:v>
                </c:pt>
                <c:pt idx="1">
                  <c:v>Laptop Pro</c:v>
                </c:pt>
                <c:pt idx="2">
                  <c:v>Monitor 27</c:v>
                </c:pt>
                <c:pt idx="3">
                  <c:v>Mouse Inalambrico</c:v>
                </c:pt>
                <c:pt idx="4">
                  <c:v>Silla Ergonomica</c:v>
                </c:pt>
                <c:pt idx="5">
                  <c:v>Teclado Mecanico</c:v>
                </c:pt>
              </c:strCache>
            </c:strRef>
          </c:cat>
          <c:val>
            <c:numRef>
              <c:f>Hoja3!$H$4:$H$10</c:f>
              <c:numCache>
                <c:formatCode>General</c:formatCode>
                <c:ptCount val="6"/>
                <c:pt idx="0">
                  <c:v>256850000</c:v>
                </c:pt>
                <c:pt idx="1">
                  <c:v>406130000</c:v>
                </c:pt>
                <c:pt idx="2">
                  <c:v>150780000</c:v>
                </c:pt>
                <c:pt idx="3">
                  <c:v>39952000</c:v>
                </c:pt>
                <c:pt idx="4">
                  <c:v>186756000</c:v>
                </c:pt>
                <c:pt idx="5">
                  <c:v>87417000</c:v>
                </c:pt>
              </c:numCache>
            </c:numRef>
          </c:val>
          <c:extLst>
            <c:ext xmlns:c16="http://schemas.microsoft.com/office/drawing/2014/chart" uri="{C3380CC4-5D6E-409C-BE32-E72D297353CC}">
              <c16:uniqueId val="{00000000-1F35-469D-8639-EE8741305720}"/>
            </c:ext>
          </c:extLst>
        </c:ser>
        <c:dLbls>
          <c:showLegendKey val="0"/>
          <c:showVal val="0"/>
          <c:showCatName val="0"/>
          <c:showSerName val="0"/>
          <c:showPercent val="0"/>
          <c:showBubbleSize val="0"/>
        </c:dLbls>
        <c:gapWidth val="326"/>
        <c:overlap val="-58"/>
        <c:axId val="1034094703"/>
        <c:axId val="1058765807"/>
      </c:barChart>
      <c:catAx>
        <c:axId val="1034094703"/>
        <c:scaling>
          <c:orientation val="minMax"/>
        </c:scaling>
        <c:delete val="0"/>
        <c:axPos val="l"/>
        <c:numFmt formatCode="General" sourceLinked="1"/>
        <c:majorTickMark val="none"/>
        <c:minorTickMark val="none"/>
        <c:tickLblPos val="nextTo"/>
        <c:spPr>
          <a:noFill/>
          <a:ln w="19050"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1058765807"/>
        <c:crosses val="autoZero"/>
        <c:auto val="1"/>
        <c:lblAlgn val="ctr"/>
        <c:lblOffset val="100"/>
        <c:noMultiLvlLbl val="0"/>
      </c:catAx>
      <c:valAx>
        <c:axId val="1058765807"/>
        <c:scaling>
          <c:orientation val="minMax"/>
        </c:scaling>
        <c:delete val="0"/>
        <c:axPos val="b"/>
        <c:majorGridlines>
          <c:spPr>
            <a:ln w="9525" cap="flat" cmpd="sng" algn="ctr">
              <a:gradFill>
                <a:gsLst>
                  <a:gs pos="99000">
                    <a:schemeClr val="tx1">
                      <a:lumMod val="25000"/>
                      <a:lumOff val="75000"/>
                    </a:schemeClr>
                  </a:gs>
                  <a:gs pos="0">
                    <a:schemeClr val="tx1">
                      <a:lumMod val="15000"/>
                      <a:lumOff val="8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10340947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L"/>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37">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38100" cap="flat" cmpd="dbl" algn="ctr">
        <a:solidFill>
          <a:schemeClr val="phClr"/>
        </a:solidFill>
        <a:miter lim="800000"/>
      </a:ln>
    </cs:spPr>
  </cs:dataPointLine>
  <cs:dataPointMarker>
    <cs:lnRef idx="0">
      <cs:styleClr val="auto"/>
    </cs:lnRef>
    <cs:fillRef idx="0">
      <cs:styleClr val="auto"/>
    </cs:fillRef>
    <cs:effectRef idx="0"/>
    <cs:fontRef idx="minor">
      <a:schemeClr val="tx1"/>
    </cs:fontRef>
    <cs:spPr>
      <a:solidFill>
        <a:schemeClr val="phClr"/>
      </a:solidFill>
      <a:ln w="9525" cap="flat" cmpd="sng" algn="ctr">
        <a:solidFill>
          <a:schemeClr val="lt1"/>
        </a:solidFill>
        <a:round/>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tx1"/>
    </cs:fontRef>
    <cs:spPr>
      <a:ln w="9525">
        <a:solidFill>
          <a:schemeClr val="tx1">
            <a:lumMod val="35000"/>
            <a:lumOff val="65000"/>
          </a:schemeClr>
        </a:solidFill>
      </a:ln>
    </cs:spPr>
  </cs:dropLine>
  <cs:errorBar>
    <cs:lnRef idx="0"/>
    <cs:fillRef idx="0"/>
    <cs:effectRef idx="0"/>
    <cs:fontRef idx="minor">
      <a:schemeClr val="tx1"/>
    </cs:fontRef>
    <cs:spPr>
      <a:ln w="9525">
        <a:solidFill>
          <a:schemeClr val="tx1">
            <a:lumMod val="65000"/>
            <a:lumOff val="35000"/>
          </a:schemeClr>
        </a:solidFill>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alpha val="32000"/>
          </a:schemeClr>
        </a:solidFill>
        <a:round/>
      </a:ln>
    </cs:spPr>
  </cs:gridlineMajor>
  <cs:gridlineMinor>
    <cs:lnRef idx="0"/>
    <cs:fillRef idx="0"/>
    <cs:effectRef idx="0"/>
    <cs:fontRef idx="minor">
      <a:schemeClr val="tx1"/>
    </cs:fontRef>
    <cs:spPr>
      <a:ln>
        <a:solidFill>
          <a:schemeClr val="tx1">
            <a:lumMod val="5000"/>
            <a:lumOff val="95000"/>
            <a:alpha val="32000"/>
          </a:schemeClr>
        </a:solidFill>
      </a:ln>
    </cs:spPr>
  </cs:gridlineMinor>
  <cs:hiLoLine>
    <cs:lnRef idx="0"/>
    <cs:fillRef idx="0"/>
    <cs:effectRef idx="0"/>
    <cs:fontRef idx="minor">
      <a:schemeClr val="tx1"/>
    </cs:fontRef>
    <cs:spPr>
      <a:ln w="9525">
        <a:solidFill>
          <a:schemeClr val="tx1"/>
        </a:solidFill>
      </a:ln>
    </cs:spPr>
  </cs:hiLoLine>
  <cs:leaderLine>
    <cs:lnRef idx="0"/>
    <cs:fillRef idx="0"/>
    <cs:effectRef idx="0"/>
    <cs:fontRef idx="minor">
      <a:schemeClr val="tx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cs:fontRef>
    <cs:spPr>
      <a:ln w="3175" cap="flat" cmpd="sng" algn="ctr">
        <a:solidFill>
          <a:schemeClr val="tx1">
            <a:lumMod val="15000"/>
            <a:lumOff val="85000"/>
          </a:schemeClr>
        </a:solidFill>
        <a:round/>
        <a:tailEnd type="none" w="med" len="lg"/>
      </a:ln>
    </cs:spPr>
    <cs:defRPr sz="900" kern="1200"/>
  </cs:seriesAxis>
  <cs:seriesLine>
    <cs:lnRef idx="0"/>
    <cs:fillRef idx="0"/>
    <cs:effectRef idx="0"/>
    <cs:fontRef idx="minor">
      <a:schemeClr val="tx1"/>
    </cs:fontRef>
    <cs:spPr>
      <a:ln w="9525">
        <a:solidFill>
          <a:schemeClr val="tx1">
            <a:lumMod val="35000"/>
            <a:lumOff val="65000"/>
          </a:schemeClr>
        </a:solidFill>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tx1"/>
    </cs:fontRef>
    <cs:spPr>
      <a:ln w="12700" cap="rnd"/>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6</xdr:colOff>
      <xdr:row>11</xdr:row>
      <xdr:rowOff>87630</xdr:rowOff>
    </xdr:from>
    <xdr:to>
      <xdr:col>5</xdr:col>
      <xdr:colOff>297186</xdr:colOff>
      <xdr:row>26</xdr:row>
      <xdr:rowOff>87630</xdr:rowOff>
    </xdr:to>
    <xdr:graphicFrame macro="">
      <xdr:nvGraphicFramePr>
        <xdr:cNvPr id="2" name="Gráfico 1">
          <a:extLst>
            <a:ext uri="{FF2B5EF4-FFF2-40B4-BE49-F238E27FC236}">
              <a16:creationId xmlns:a16="http://schemas.microsoft.com/office/drawing/2014/main" id="{1D000D9A-B8B6-5588-3E45-9FDFDF663E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7626</xdr:colOff>
      <xdr:row>11</xdr:row>
      <xdr:rowOff>26670</xdr:rowOff>
    </xdr:from>
    <xdr:to>
      <xdr:col>11</xdr:col>
      <xdr:colOff>617226</xdr:colOff>
      <xdr:row>26</xdr:row>
      <xdr:rowOff>26670</xdr:rowOff>
    </xdr:to>
    <xdr:graphicFrame macro="">
      <xdr:nvGraphicFramePr>
        <xdr:cNvPr id="3" name="Gráfico 2">
          <a:extLst>
            <a:ext uri="{FF2B5EF4-FFF2-40B4-BE49-F238E27FC236}">
              <a16:creationId xmlns:a16="http://schemas.microsoft.com/office/drawing/2014/main" id="{EE4B602D-38C7-4EB1-F3E7-163A37F10B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15246</xdr:colOff>
      <xdr:row>28</xdr:row>
      <xdr:rowOff>118110</xdr:rowOff>
    </xdr:from>
    <xdr:to>
      <xdr:col>10</xdr:col>
      <xdr:colOff>297186</xdr:colOff>
      <xdr:row>43</xdr:row>
      <xdr:rowOff>118110</xdr:rowOff>
    </xdr:to>
    <xdr:graphicFrame macro="">
      <xdr:nvGraphicFramePr>
        <xdr:cNvPr id="4" name="Gráfico 3">
          <a:extLst>
            <a:ext uri="{FF2B5EF4-FFF2-40B4-BE49-F238E27FC236}">
              <a16:creationId xmlns:a16="http://schemas.microsoft.com/office/drawing/2014/main" id="{DA3F3F8D-A87D-C381-98B7-88BAC13E8D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6</xdr:col>
      <xdr:colOff>922020</xdr:colOff>
      <xdr:row>7</xdr:row>
      <xdr:rowOff>0</xdr:rowOff>
    </xdr:from>
    <xdr:to>
      <xdr:col>9</xdr:col>
      <xdr:colOff>45720</xdr:colOff>
      <xdr:row>21</xdr:row>
      <xdr:rowOff>20955</xdr:rowOff>
    </xdr:to>
    <mc:AlternateContent xmlns:mc="http://schemas.openxmlformats.org/markup-compatibility/2006">
      <mc:Choice xmlns:a14="http://schemas.microsoft.com/office/drawing/2010/main" Requires="a14">
        <xdr:graphicFrame macro="">
          <xdr:nvGraphicFramePr>
            <xdr:cNvPr id="5" name="Categoria">
              <a:extLst>
                <a:ext uri="{FF2B5EF4-FFF2-40B4-BE49-F238E27FC236}">
                  <a16:creationId xmlns:a16="http://schemas.microsoft.com/office/drawing/2014/main" id="{80236C5F-DBDD-491C-9342-9401E1F08CEE}"/>
                </a:ext>
              </a:extLst>
            </xdr:cNvPr>
            <xdr:cNvGraphicFramePr/>
          </xdr:nvGraphicFramePr>
          <xdr:xfrm>
            <a:off x="0" y="0"/>
            <a:ext cx="0" cy="0"/>
          </xdr:xfrm>
          <a:graphic>
            <a:graphicData uri="http://schemas.microsoft.com/office/drawing/2010/slicer">
              <sle:slicer xmlns:sle="http://schemas.microsoft.com/office/drawing/2010/slicer" name="Categoria"/>
            </a:graphicData>
          </a:graphic>
        </xdr:graphicFrame>
      </mc:Choice>
      <mc:Fallback>
        <xdr:sp macro="" textlink="">
          <xdr:nvSpPr>
            <xdr:cNvPr id="0" name=""/>
            <xdr:cNvSpPr>
              <a:spLocks noTextEdit="1"/>
            </xdr:cNvSpPr>
          </xdr:nvSpPr>
          <xdr:spPr>
            <a:xfrm>
              <a:off x="6301740" y="1280160"/>
              <a:ext cx="1828800" cy="2581275"/>
            </a:xfrm>
            <a:prstGeom prst="rect">
              <a:avLst/>
            </a:prstGeom>
            <a:solidFill>
              <a:prstClr val="white"/>
            </a:solidFill>
            <a:ln w="1">
              <a:solidFill>
                <a:prstClr val="green"/>
              </a:solidFill>
            </a:ln>
          </xdr:spPr>
          <xdr:txBody>
            <a:bodyPr vertOverflow="clip" horzOverflow="clip"/>
            <a:lstStyle/>
            <a:p>
              <a:r>
                <a:rPr lang="es-CL" sz="1100"/>
                <a:t>Esta forma representa una segmentación de datos. La segmentación de datos se admite en Excel 2010 y versiones posteriores.
Si la forma se modificó en una versión anterior de Excel o si el libro se guardó en Excel 2003 o una versión anterior, no se puede usar la segmentación de datos.</a:t>
              </a:r>
            </a:p>
          </xdr:txBody>
        </xdr:sp>
      </mc:Fallback>
    </mc:AlternateContent>
    <xdr:clientData/>
  </xdr:twoCellAnchor>
  <xdr:twoCellAnchor editAs="oneCell">
    <xdr:from>
      <xdr:col>6</xdr:col>
      <xdr:colOff>922020</xdr:colOff>
      <xdr:row>7</xdr:row>
      <xdr:rowOff>0</xdr:rowOff>
    </xdr:from>
    <xdr:to>
      <xdr:col>9</xdr:col>
      <xdr:colOff>45720</xdr:colOff>
      <xdr:row>21</xdr:row>
      <xdr:rowOff>20955</xdr:rowOff>
    </xdr:to>
    <mc:AlternateContent xmlns:mc="http://schemas.openxmlformats.org/markup-compatibility/2006">
      <mc:Choice xmlns:a14="http://schemas.microsoft.com/office/drawing/2010/main" Requires="a14">
        <xdr:graphicFrame macro="">
          <xdr:nvGraphicFramePr>
            <xdr:cNvPr id="6" name="Mes">
              <a:extLst>
                <a:ext uri="{FF2B5EF4-FFF2-40B4-BE49-F238E27FC236}">
                  <a16:creationId xmlns:a16="http://schemas.microsoft.com/office/drawing/2014/main" id="{F9B1FA40-1828-C6C0-5786-B8C2DF9C5B20}"/>
                </a:ext>
              </a:extLst>
            </xdr:cNvPr>
            <xdr:cNvGraphicFramePr/>
          </xdr:nvGraphicFramePr>
          <xdr:xfrm>
            <a:off x="0" y="0"/>
            <a:ext cx="0" cy="0"/>
          </xdr:xfrm>
          <a:graphic>
            <a:graphicData uri="http://schemas.microsoft.com/office/drawing/2010/slicer">
              <sle:slicer xmlns:sle="http://schemas.microsoft.com/office/drawing/2010/slicer" name="Mes"/>
            </a:graphicData>
          </a:graphic>
        </xdr:graphicFrame>
      </mc:Choice>
      <mc:Fallback>
        <xdr:sp macro="" textlink="">
          <xdr:nvSpPr>
            <xdr:cNvPr id="0" name=""/>
            <xdr:cNvSpPr>
              <a:spLocks noTextEdit="1"/>
            </xdr:cNvSpPr>
          </xdr:nvSpPr>
          <xdr:spPr>
            <a:xfrm>
              <a:off x="6301740" y="1280160"/>
              <a:ext cx="1828800" cy="2581275"/>
            </a:xfrm>
            <a:prstGeom prst="rect">
              <a:avLst/>
            </a:prstGeom>
            <a:solidFill>
              <a:prstClr val="white"/>
            </a:solidFill>
            <a:ln w="1">
              <a:solidFill>
                <a:prstClr val="green"/>
              </a:solidFill>
            </a:ln>
          </xdr:spPr>
          <xdr:txBody>
            <a:bodyPr vertOverflow="clip" horzOverflow="clip"/>
            <a:lstStyle/>
            <a:p>
              <a:r>
                <a:rPr lang="es-CL" sz="1100"/>
                <a:t>Esta forma representa una segmentación de datos. La segmentación de datos se admite en Excel 2010 y versiones posteriores.
Si la forma se modificó en una versión anterior de Excel o si el libro se guardó en Excel 2003 o una versión anterior, no se puede usar la segmentación de datos.</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114300</xdr:colOff>
      <xdr:row>8</xdr:row>
      <xdr:rowOff>0</xdr:rowOff>
    </xdr:from>
    <xdr:to>
      <xdr:col>6</xdr:col>
      <xdr:colOff>251460</xdr:colOff>
      <xdr:row>23</xdr:row>
      <xdr:rowOff>15240</xdr:rowOff>
    </xdr:to>
    <xdr:graphicFrame macro="">
      <xdr:nvGraphicFramePr>
        <xdr:cNvPr id="2" name="Gráfico 1">
          <a:extLst>
            <a:ext uri="{FF2B5EF4-FFF2-40B4-BE49-F238E27FC236}">
              <a16:creationId xmlns:a16="http://schemas.microsoft.com/office/drawing/2014/main" id="{DE951738-3321-4472-B271-5EB7419FC6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579120</xdr:colOff>
      <xdr:row>8</xdr:row>
      <xdr:rowOff>7620</xdr:rowOff>
    </xdr:from>
    <xdr:to>
      <xdr:col>12</xdr:col>
      <xdr:colOff>723900</xdr:colOff>
      <xdr:row>23</xdr:row>
      <xdr:rowOff>7620</xdr:rowOff>
    </xdr:to>
    <xdr:graphicFrame macro="">
      <xdr:nvGraphicFramePr>
        <xdr:cNvPr id="3" name="Gráfico 2">
          <a:extLst>
            <a:ext uri="{FF2B5EF4-FFF2-40B4-BE49-F238E27FC236}">
              <a16:creationId xmlns:a16="http://schemas.microsoft.com/office/drawing/2014/main" id="{4AE08D0C-0E95-46F5-B167-2A76D88AA4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45720</xdr:colOff>
      <xdr:row>23</xdr:row>
      <xdr:rowOff>129540</xdr:rowOff>
    </xdr:from>
    <xdr:to>
      <xdr:col>6</xdr:col>
      <xdr:colOff>190500</xdr:colOff>
      <xdr:row>38</xdr:row>
      <xdr:rowOff>175260</xdr:rowOff>
    </xdr:to>
    <xdr:graphicFrame macro="">
      <xdr:nvGraphicFramePr>
        <xdr:cNvPr id="4" name="Gráfico 3">
          <a:extLst>
            <a:ext uri="{FF2B5EF4-FFF2-40B4-BE49-F238E27FC236}">
              <a16:creationId xmlns:a16="http://schemas.microsoft.com/office/drawing/2014/main" id="{47442B30-AD59-4D62-85E3-C3860A9A3C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7</xdr:col>
      <xdr:colOff>0</xdr:colOff>
      <xdr:row>25</xdr:row>
      <xdr:rowOff>0</xdr:rowOff>
    </xdr:from>
    <xdr:to>
      <xdr:col>9</xdr:col>
      <xdr:colOff>480060</xdr:colOff>
      <xdr:row>34</xdr:row>
      <xdr:rowOff>38099</xdr:rowOff>
    </xdr:to>
    <mc:AlternateContent xmlns:mc="http://schemas.openxmlformats.org/markup-compatibility/2006">
      <mc:Choice xmlns:a14="http://schemas.microsoft.com/office/drawing/2010/main" Requires="a14">
        <xdr:graphicFrame macro="">
          <xdr:nvGraphicFramePr>
            <xdr:cNvPr id="5" name="Categoria 1">
              <a:extLst>
                <a:ext uri="{FF2B5EF4-FFF2-40B4-BE49-F238E27FC236}">
                  <a16:creationId xmlns:a16="http://schemas.microsoft.com/office/drawing/2014/main" id="{2135EDDE-ED67-4F66-A951-A6BE4A6556B5}"/>
                </a:ext>
              </a:extLst>
            </xdr:cNvPr>
            <xdr:cNvGraphicFramePr/>
          </xdr:nvGraphicFramePr>
          <xdr:xfrm>
            <a:off x="0" y="0"/>
            <a:ext cx="0" cy="0"/>
          </xdr:xfrm>
          <a:graphic>
            <a:graphicData uri="http://schemas.microsoft.com/office/drawing/2010/slicer">
              <sle:slicer xmlns:sle="http://schemas.microsoft.com/office/drawing/2010/slicer" name="Categoria 1"/>
            </a:graphicData>
          </a:graphic>
        </xdr:graphicFrame>
      </mc:Choice>
      <mc:Fallback>
        <xdr:sp macro="" textlink="">
          <xdr:nvSpPr>
            <xdr:cNvPr id="0" name=""/>
            <xdr:cNvSpPr>
              <a:spLocks noTextEdit="1"/>
            </xdr:cNvSpPr>
          </xdr:nvSpPr>
          <xdr:spPr>
            <a:xfrm>
              <a:off x="5273040" y="4587240"/>
              <a:ext cx="1798320" cy="1684019"/>
            </a:xfrm>
            <a:prstGeom prst="rect">
              <a:avLst/>
            </a:prstGeom>
            <a:solidFill>
              <a:prstClr val="white"/>
            </a:solidFill>
            <a:ln w="1">
              <a:solidFill>
                <a:prstClr val="green"/>
              </a:solidFill>
            </a:ln>
          </xdr:spPr>
          <xdr:txBody>
            <a:bodyPr vertOverflow="clip" horzOverflow="clip"/>
            <a:lstStyle/>
            <a:p>
              <a:r>
                <a:rPr lang="es-CL" sz="1100"/>
                <a:t>Esta forma representa una segmentación de datos. La segmentación de datos se admite en Excel 2010 y versiones posteriores.
Si la forma se modificó en una versión anterior de Excel o si el libro se guardó en Excel 2003 o una versión anterior, no se puede usar la segmentación de datos.</a:t>
              </a:r>
            </a:p>
          </xdr:txBody>
        </xdr:sp>
      </mc:Fallback>
    </mc:AlternateContent>
    <xdr:clientData/>
  </xdr:twoCellAnchor>
  <xdr:twoCellAnchor editAs="oneCell">
    <xdr:from>
      <xdr:col>10</xdr:col>
      <xdr:colOff>0</xdr:colOff>
      <xdr:row>25</xdr:row>
      <xdr:rowOff>1</xdr:rowOff>
    </xdr:from>
    <xdr:to>
      <xdr:col>12</xdr:col>
      <xdr:colOff>236220</xdr:colOff>
      <xdr:row>36</xdr:row>
      <xdr:rowOff>106681</xdr:rowOff>
    </xdr:to>
    <mc:AlternateContent xmlns:mc="http://schemas.openxmlformats.org/markup-compatibility/2006">
      <mc:Choice xmlns:a14="http://schemas.microsoft.com/office/drawing/2010/main" Requires="a14">
        <xdr:graphicFrame macro="">
          <xdr:nvGraphicFramePr>
            <xdr:cNvPr id="6" name="Mes 1">
              <a:extLst>
                <a:ext uri="{FF2B5EF4-FFF2-40B4-BE49-F238E27FC236}">
                  <a16:creationId xmlns:a16="http://schemas.microsoft.com/office/drawing/2014/main" id="{DD305BF1-2021-4C4C-83E8-6995516295B3}"/>
                </a:ext>
              </a:extLst>
            </xdr:cNvPr>
            <xdr:cNvGraphicFramePr/>
          </xdr:nvGraphicFramePr>
          <xdr:xfrm>
            <a:off x="0" y="0"/>
            <a:ext cx="0" cy="0"/>
          </xdr:xfrm>
          <a:graphic>
            <a:graphicData uri="http://schemas.microsoft.com/office/drawing/2010/slicer">
              <sle:slicer xmlns:sle="http://schemas.microsoft.com/office/drawing/2010/slicer" name="Mes 1"/>
            </a:graphicData>
          </a:graphic>
        </xdr:graphicFrame>
      </mc:Choice>
      <mc:Fallback>
        <xdr:sp macro="" textlink="">
          <xdr:nvSpPr>
            <xdr:cNvPr id="0" name=""/>
            <xdr:cNvSpPr>
              <a:spLocks noTextEdit="1"/>
            </xdr:cNvSpPr>
          </xdr:nvSpPr>
          <xdr:spPr>
            <a:xfrm>
              <a:off x="7383780" y="4587241"/>
              <a:ext cx="1821180" cy="2118360"/>
            </a:xfrm>
            <a:prstGeom prst="rect">
              <a:avLst/>
            </a:prstGeom>
            <a:solidFill>
              <a:prstClr val="white"/>
            </a:solidFill>
            <a:ln w="1">
              <a:solidFill>
                <a:prstClr val="green"/>
              </a:solidFill>
            </a:ln>
          </xdr:spPr>
          <xdr:txBody>
            <a:bodyPr vertOverflow="clip" horzOverflow="clip"/>
            <a:lstStyle/>
            <a:p>
              <a:r>
                <a:rPr lang="es-CL" sz="1100"/>
                <a:t>Esta forma representa una segmentación de datos. La segmentación de datos se admite en Excel 2010 y versiones posteriores.
Si la forma se modificó en una versión anterior de Excel o si el libro se guardó en Excel 2003 o una versión anterior, no se puede usar la segmentación de datos.</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rcela Bustos" refreshedDate="46297.506027083335" createdVersion="8" refreshedVersion="8" minRefreshableVersion="3" recordCount="0" supportSubquery="1" supportAdvancedDrill="1" xr:uid="{F7194018-D954-44DF-BABA-86E5DCC279CF}">
  <cacheSource type="external" connectionId="6"/>
  <cacheFields count="3">
    <cacheField name="[Dim_Productos].[Categoria].[Categoria]" caption="Categoria" numFmtId="0" hierarchy="10" level="1">
      <sharedItems count="3">
        <s v="Accesorios"/>
        <s v="Mobiliario"/>
        <s v="Tecnologia"/>
      </sharedItems>
    </cacheField>
    <cacheField name="[Measures].[Total Ventas]" caption="Total Ventas" numFmtId="0" hierarchy="37" level="32767"/>
    <cacheField name="[Dim_Calendario].[Mes].[Mes]" caption="Mes" numFmtId="0" hierarchy="3" level="1">
      <sharedItems containsSemiMixedTypes="0" containsNonDate="0" containsString="0"/>
    </cacheField>
  </cacheFields>
  <cacheHierarchies count="46">
    <cacheHierarchy uniqueName="[Dim_Calendario].[Fecha]" caption="Fecha" attribute="1" time="1" defaultMemberUniqueName="[Dim_Calendario].[Fecha].[All]" allUniqueName="[Dim_Calendario].[Fecha].[All]" dimensionUniqueName="[Dim_Calendario]" displayFolder="" count="2" memberValueDatatype="7" unbalanced="0"/>
    <cacheHierarchy uniqueName="[Dim_Calendario].[Año]" caption="Año" attribute="1" defaultMemberUniqueName="[Dim_Calendario].[Año].[All]" allUniqueName="[Dim_Calendario].[Año].[All]" dimensionUniqueName="[Dim_Calendario]" displayFolder="" count="2" memberValueDatatype="20" unbalanced="0"/>
    <cacheHierarchy uniqueName="[Dim_Calendario].[MesN]" caption="MesN" attribute="1" defaultMemberUniqueName="[Dim_Calendario].[MesN].[All]" allUniqueName="[Dim_Calendario].[MesN].[All]" dimensionUniqueName="[Dim_Calendario]" displayFolder="" count="2" memberValueDatatype="20" unbalanced="0"/>
    <cacheHierarchy uniqueName="[Dim_Calendario].[Mes]" caption="Mes" attribute="1" defaultMemberUniqueName="[Dim_Calendario].[Mes].[All]" allUniqueName="[Dim_Calendario].[Mes].[All]" dimensionUniqueName="[Dim_Calendario]" displayFolder="" count="2" memberValueDatatype="130" unbalanced="0">
      <fieldsUsage count="2">
        <fieldUsage x="-1"/>
        <fieldUsage x="2"/>
      </fieldsUsage>
    </cacheHierarchy>
    <cacheHierarchy uniqueName="[Dim_Calendario].[Trimestre]" caption="Trimestre" attribute="1" defaultMemberUniqueName="[Dim_Calendario].[Trimestre].[All]" allUniqueName="[Dim_Calendario].[Trimestre].[All]" dimensionUniqueName="[Dim_Calendario]" displayFolder="" count="2" memberValueDatatype="130" unbalanced="0"/>
    <cacheHierarchy uniqueName="[Dim_Clientes].[ClienteID]" caption="ClienteID" attribute="1" defaultMemberUniqueName="[Dim_Clientes].[ClienteID].[All]" allUniqueName="[Dim_Clientes].[ClienteID].[All]" dimensionUniqueName="[Dim_Clientes]" displayFolder="" count="2" memberValueDatatype="20" unbalanced="0"/>
    <cacheHierarchy uniqueName="[Dim_Clientes].[Cliente]" caption="Cliente" attribute="1" defaultMemberUniqueName="[Dim_Clientes].[Cliente].[All]" allUniqueName="[Dim_Clientes].[Cliente].[All]" dimensionUniqueName="[Dim_Clientes]" displayFolder="" count="2" memberValueDatatype="130" unbalanced="0"/>
    <cacheHierarchy uniqueName="[Dim_Clientes].[Ciudad]" caption="Ciudad" attribute="1" defaultMemberUniqueName="[Dim_Clientes].[Ciudad].[All]" allUniqueName="[Dim_Clientes].[Ciudad].[All]" dimensionUniqueName="[Dim_Clientes]" displayFolder="" count="2" memberValueDatatype="130" unbalanced="0"/>
    <cacheHierarchy uniqueName="[Dim_Productos].[ProductoID]" caption="ProductoID" attribute="1" defaultMemberUniqueName="[Dim_Productos].[ProductoID].[All]" allUniqueName="[Dim_Productos].[ProductoID].[All]" dimensionUniqueName="[Dim_Productos]" displayFolder="" count="2" memberValueDatatype="20" unbalanced="0"/>
    <cacheHierarchy uniqueName="[Dim_Productos].[Producto]" caption="Producto" attribute="1" defaultMemberUniqueName="[Dim_Productos].[Producto].[All]" allUniqueName="[Dim_Productos].[Producto].[All]" dimensionUniqueName="[Dim_Productos]" displayFolder="" count="2" memberValueDatatype="130" unbalanced="0"/>
    <cacheHierarchy uniqueName="[Dim_Productos].[Categoria]" caption="Categoria" attribute="1" defaultMemberUniqueName="[Dim_Productos].[Categoria].[All]" allUniqueName="[Dim_Productos].[Categoria].[All]" dimensionUniqueName="[Dim_Productos]" displayFolder="" count="2" memberValueDatatype="130" unbalanced="0">
      <fieldsUsage count="2">
        <fieldUsage x="-1"/>
        <fieldUsage x="0"/>
      </fieldsUsage>
    </cacheHierarchy>
    <cacheHierarchy uniqueName="[Hechos_Ventas].[VentaID]" caption="VentaID" attribute="1" defaultMemberUniqueName="[Hechos_Ventas].[VentaID].[All]" allUniqueName="[Hechos_Ventas].[VentaID].[All]" dimensionUniqueName="[Hechos_Ventas]" displayFolder="" count="2" memberValueDatatype="20" unbalanced="0"/>
    <cacheHierarchy uniqueName="[Hechos_Ventas].[Fecha]" caption="Fecha" attribute="1" time="1" defaultMemberUniqueName="[Hechos_Ventas].[Fecha].[All]" allUniqueName="[Hechos_Ventas].[Fecha].[All]" dimensionUniqueName="[Hechos_Ventas]" displayFolder="" count="2" memberValueDatatype="7" unbalanced="0"/>
    <cacheHierarchy uniqueName="[Hechos_Ventas].[ClienteID]" caption="ClienteID" attribute="1" defaultMemberUniqueName="[Hechos_Ventas].[ClienteID].[All]" allUniqueName="[Hechos_Ventas].[ClienteID].[All]" dimensionUniqueName="[Hechos_Ventas]" displayFolder="" count="2" memberValueDatatype="20" unbalanced="0"/>
    <cacheHierarchy uniqueName="[Hechos_Ventas].[Cliente]" caption="Cliente" attribute="1" defaultMemberUniqueName="[Hechos_Ventas].[Cliente].[All]" allUniqueName="[Hechos_Ventas].[Cliente].[All]" dimensionUniqueName="[Hechos_Ventas]" displayFolder="" count="2" memberValueDatatype="130" unbalanced="0"/>
    <cacheHierarchy uniqueName="[Hechos_Ventas].[Ciudad]" caption="Ciudad" attribute="1" defaultMemberUniqueName="[Hechos_Ventas].[Ciudad].[All]" allUniqueName="[Hechos_Ventas].[Ciudad].[All]" dimensionUniqueName="[Hechos_Ventas]" displayFolder="" count="2" memberValueDatatype="130" unbalanced="0"/>
    <cacheHierarchy uniqueName="[Hechos_Ventas].[ProductoID]" caption="ProductoID" attribute="1" defaultMemberUniqueName="[Hechos_Ventas].[ProductoID].[All]" allUniqueName="[Hechos_Ventas].[ProductoID].[All]" dimensionUniqueName="[Hechos_Ventas]" displayFolder="" count="2" memberValueDatatype="20" unbalanced="0"/>
    <cacheHierarchy uniqueName="[Hechos_Ventas].[Producto]" caption="Producto" attribute="1" defaultMemberUniqueName="[Hechos_Ventas].[Producto].[All]" allUniqueName="[Hechos_Ventas].[Producto].[All]" dimensionUniqueName="[Hechos_Ventas]" displayFolder="" count="2" memberValueDatatype="130" unbalanced="0"/>
    <cacheHierarchy uniqueName="[Hechos_Ventas].[Categoria]" caption="Categoria" attribute="1" defaultMemberUniqueName="[Hechos_Ventas].[Categoria].[All]" allUniqueName="[Hechos_Ventas].[Categoria].[All]" dimensionUniqueName="[Hechos_Ventas]" displayFolder="" count="2" memberValueDatatype="130" unbalanced="0"/>
    <cacheHierarchy uniqueName="[Hechos_Ventas].[Cantidad]" caption="Cantidad" attribute="1" defaultMemberUniqueName="[Hechos_Ventas].[Cantidad].[All]" allUniqueName="[Hechos_Ventas].[Cantidad].[All]" dimensionUniqueName="[Hechos_Ventas]" displayFolder="" count="2" memberValueDatatype="20" unbalanced="0"/>
    <cacheHierarchy uniqueName="[Hechos_Ventas].[PrecioUnitario]" caption="PrecioUnitario" attribute="1" defaultMemberUniqueName="[Hechos_Ventas].[PrecioUnitario].[All]" allUniqueName="[Hechos_Ventas].[PrecioUnitario].[All]" dimensionUniqueName="[Hechos_Ventas]" displayFolder="" count="2" memberValueDatatype="5" unbalanced="0"/>
    <cacheHierarchy uniqueName="[Hechos_Ventas].[CostoUnitario]" caption="CostoUnitario" attribute="1" defaultMemberUniqueName="[Hechos_Ventas].[CostoUnitario].[All]" allUniqueName="[Hechos_Ventas].[CostoUnitario].[All]" dimensionUniqueName="[Hechos_Ventas]" displayFolder="" count="2" memberValueDatatype="5" unbalanced="0"/>
    <cacheHierarchy uniqueName="[Hechos_Ventas].[VentaNeta]" caption="VentaNeta" attribute="1" defaultMemberUniqueName="[Hechos_Ventas].[VentaNeta].[All]" allUniqueName="[Hechos_Ventas].[VentaNeta].[All]" dimensionUniqueName="[Hechos_Ventas]" displayFolder="" count="2" memberValueDatatype="5" unbalanced="0"/>
    <cacheHierarchy uniqueName="[Hechos_Ventas].[Margen]" caption="Margen" attribute="1" defaultMemberUniqueName="[Hechos_Ventas].[Margen].[All]" allUniqueName="[Hechos_Ventas].[Margen].[All]" dimensionUniqueName="[Hechos_Ventas]" displayFolder="" count="2" memberValueDatatype="5" unbalanced="0"/>
    <cacheHierarchy uniqueName="[Hechos_Ventas 1].[VentaID]" caption="VentaID" attribute="1" defaultMemberUniqueName="[Hechos_Ventas 1].[VentaID].[All]" allUniqueName="[Hechos_Ventas 1].[VentaID].[All]" dimensionUniqueName="[Hechos_Ventas 1]" displayFolder="" count="2" memberValueDatatype="20" unbalanced="0"/>
    <cacheHierarchy uniqueName="[Hechos_Ventas 1].[Fecha]" caption="Fecha" attribute="1" time="1" defaultMemberUniqueName="[Hechos_Ventas 1].[Fecha].[All]" allUniqueName="[Hechos_Ventas 1].[Fecha].[All]" dimensionUniqueName="[Hechos_Ventas 1]" displayFolder="" count="2" memberValueDatatype="7" unbalanced="0"/>
    <cacheHierarchy uniqueName="[Hechos_Ventas 1].[ClienteID]" caption="ClienteID" attribute="1" defaultMemberUniqueName="[Hechos_Ventas 1].[ClienteID].[All]" allUniqueName="[Hechos_Ventas 1].[ClienteID].[All]" dimensionUniqueName="[Hechos_Ventas 1]" displayFolder="" count="2" memberValueDatatype="20" unbalanced="0"/>
    <cacheHierarchy uniqueName="[Hechos_Ventas 1].[Cliente]" caption="Cliente" attribute="1" defaultMemberUniqueName="[Hechos_Ventas 1].[Cliente].[All]" allUniqueName="[Hechos_Ventas 1].[Cliente].[All]" dimensionUniqueName="[Hechos_Ventas 1]" displayFolder="" count="2" memberValueDatatype="130" unbalanced="0"/>
    <cacheHierarchy uniqueName="[Hechos_Ventas 1].[Ciudad]" caption="Ciudad" attribute="1" defaultMemberUniqueName="[Hechos_Ventas 1].[Ciudad].[All]" allUniqueName="[Hechos_Ventas 1].[Ciudad].[All]" dimensionUniqueName="[Hechos_Ventas 1]" displayFolder="" count="2" memberValueDatatype="130" unbalanced="0"/>
    <cacheHierarchy uniqueName="[Hechos_Ventas 1].[ProductoID]" caption="ProductoID" attribute="1" defaultMemberUniqueName="[Hechos_Ventas 1].[ProductoID].[All]" allUniqueName="[Hechos_Ventas 1].[ProductoID].[All]" dimensionUniqueName="[Hechos_Ventas 1]" displayFolder="" count="2" memberValueDatatype="20" unbalanced="0"/>
    <cacheHierarchy uniqueName="[Hechos_Ventas 1].[Producto]" caption="Producto" attribute="1" defaultMemberUniqueName="[Hechos_Ventas 1].[Producto].[All]" allUniqueName="[Hechos_Ventas 1].[Producto].[All]" dimensionUniqueName="[Hechos_Ventas 1]" displayFolder="" count="2" memberValueDatatype="130" unbalanced="0"/>
    <cacheHierarchy uniqueName="[Hechos_Ventas 1].[Categoria]" caption="Categoria" attribute="1" defaultMemberUniqueName="[Hechos_Ventas 1].[Categoria].[All]" allUniqueName="[Hechos_Ventas 1].[Categoria].[All]" dimensionUniqueName="[Hechos_Ventas 1]" displayFolder="" count="2" memberValueDatatype="130" unbalanced="0"/>
    <cacheHierarchy uniqueName="[Hechos_Ventas 1].[Cantidad]" caption="Cantidad" attribute="1" defaultMemberUniqueName="[Hechos_Ventas 1].[Cantidad].[All]" allUniqueName="[Hechos_Ventas 1].[Cantidad].[All]" dimensionUniqueName="[Hechos_Ventas 1]" displayFolder="" count="2" memberValueDatatype="20" unbalanced="0"/>
    <cacheHierarchy uniqueName="[Hechos_Ventas 1].[PrecioUnitario]" caption="PrecioUnitario" attribute="1" defaultMemberUniqueName="[Hechos_Ventas 1].[PrecioUnitario].[All]" allUniqueName="[Hechos_Ventas 1].[PrecioUnitario].[All]" dimensionUniqueName="[Hechos_Ventas 1]" displayFolder="" count="2" memberValueDatatype="20" unbalanced="0"/>
    <cacheHierarchy uniqueName="[Hechos_Ventas 1].[CostoUnitario]" caption="CostoUnitario" attribute="1" defaultMemberUniqueName="[Hechos_Ventas 1].[CostoUnitario].[All]" allUniqueName="[Hechos_Ventas 1].[CostoUnitario].[All]" dimensionUniqueName="[Hechos_Ventas 1]" displayFolder="" count="2" memberValueDatatype="20" unbalanced="0"/>
    <cacheHierarchy uniqueName="[Hechos_Ventas 1].[VentaNeta]" caption="VentaNeta" attribute="1" defaultMemberUniqueName="[Hechos_Ventas 1].[VentaNeta].[All]" allUniqueName="[Hechos_Ventas 1].[VentaNeta].[All]" dimensionUniqueName="[Hechos_Ventas 1]" displayFolder="" count="2" memberValueDatatype="20" unbalanced="0"/>
    <cacheHierarchy uniqueName="[Hechos_Ventas 1].[Margen]" caption="Margen" attribute="1" defaultMemberUniqueName="[Hechos_Ventas 1].[Margen].[All]" allUniqueName="[Hechos_Ventas 1].[Margen].[All]" dimensionUniqueName="[Hechos_Ventas 1]" displayFolder="" count="2" memberValueDatatype="20" unbalanced="0"/>
    <cacheHierarchy uniqueName="[Measures].[Total Ventas]" caption="Total Ventas" measure="1" displayFolder="" measureGroup="Hechos_Ventas" count="0" oneField="1">
      <fieldsUsage count="1">
        <fieldUsage x="1"/>
      </fieldsUsage>
    </cacheHierarchy>
    <cacheHierarchy uniqueName="[Measures].[Margen Neto]" caption="Margen Neto" measure="1" displayFolder="" measureGroup="Hechos_Ventas" count="0"/>
    <cacheHierarchy uniqueName="[Measures].[Unidades Vendidas]" caption="Unidades Vendidas" measure="1" displayFolder="" measureGroup="Hechos_Ventas" count="0"/>
    <cacheHierarchy uniqueName="[Measures].[__XL_Count Dim_Clientes]" caption="__XL_Count Dim_Clientes" measure="1" displayFolder="" measureGroup="Dim_Clientes" count="0" hidden="1"/>
    <cacheHierarchy uniqueName="[Measures].[__XL_Count Dim_Productos]" caption="__XL_Count Dim_Productos" measure="1" displayFolder="" measureGroup="Dim_Productos" count="0" hidden="1"/>
    <cacheHierarchy uniqueName="[Measures].[__XL_Count Dim_Calendario]" caption="__XL_Count Dim_Calendario" measure="1" displayFolder="" measureGroup="Dim_Calendario" count="0" hidden="1"/>
    <cacheHierarchy uniqueName="[Measures].[__XL_Count Hechos_Ventas]" caption="__XL_Count Hechos_Ventas" measure="1" displayFolder="" measureGroup="Hechos_Ventas" count="0" hidden="1"/>
    <cacheHierarchy uniqueName="[Measures].[__XL_Count Hechos_Ventas 1]" caption="__XL_Count Hechos_Ventas 1" measure="1" displayFolder="" measureGroup="Hechos_Ventas 1" count="0" hidden="1"/>
    <cacheHierarchy uniqueName="[Measures].[__No measures defined]" caption="__No measures defined" measure="1" displayFolder="" count="0" hidden="1"/>
  </cacheHierarchies>
  <kpis count="0"/>
  <dimensions count="6">
    <dimension name="Dim_Calendario" uniqueName="[Dim_Calendario]" caption="Dim_Calendario"/>
    <dimension name="Dim_Clientes" uniqueName="[Dim_Clientes]" caption="Dim_Clientes"/>
    <dimension name="Dim_Productos" uniqueName="[Dim_Productos]" caption="Dim_Productos"/>
    <dimension name="Hechos_Ventas" uniqueName="[Hechos_Ventas]" caption="Hechos_Ventas"/>
    <dimension name="Hechos_Ventas 1" uniqueName="[Hechos_Ventas 1]" caption="Hechos_Ventas 1"/>
    <dimension measure="1" name="Measures" uniqueName="[Measures]" caption="Measures"/>
  </dimensions>
  <measureGroups count="5">
    <measureGroup name="Dim_Calendario" caption="Dim_Calendario"/>
    <measureGroup name="Dim_Clientes" caption="Dim_Clientes"/>
    <measureGroup name="Dim_Productos" caption="Dim_Productos"/>
    <measureGroup name="Hechos_Ventas" caption="Hechos_Ventas"/>
    <measureGroup name="Hechos_Ventas 1" caption="Hechos_Ventas 1"/>
  </measureGroups>
  <maps count="7">
    <map measureGroup="0" dimension="0"/>
    <map measureGroup="1" dimension="1"/>
    <map measureGroup="2" dimension="2"/>
    <map measureGroup="3" dimension="0"/>
    <map measureGroup="3" dimension="2"/>
    <map measureGroup="3"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rcela Bustos" refreshedDate="46297.506027199073" createdVersion="5" refreshedVersion="8" minRefreshableVersion="3" recordCount="0" supportSubquery="1" supportAdvancedDrill="1" xr:uid="{EEDB54B0-65E1-42B0-8EDF-2A660DB47B8C}">
  <cacheSource type="external" connectionId="6"/>
  <cacheFields count="1">
    <cacheField name="[Dim_Calendario].[Mes].[Mes]" caption="Mes" numFmtId="0" hierarchy="3" level="1">
      <sharedItems containsSemiMixedTypes="0" containsNonDate="0" containsString="0"/>
    </cacheField>
  </cacheFields>
  <cacheHierarchies count="46">
    <cacheHierarchy uniqueName="[Dim_Calendario].[Fecha]" caption="Fecha" attribute="1" time="1" defaultMemberUniqueName="[Dim_Calendario].[Fecha].[All]" allUniqueName="[Dim_Calendario].[Fecha].[All]" dimensionUniqueName="[Dim_Calendario]" displayFolder="" count="0" memberValueDatatype="7" unbalanced="0"/>
    <cacheHierarchy uniqueName="[Dim_Calendario].[Año]" caption="Año" attribute="1" defaultMemberUniqueName="[Dim_Calendario].[Año].[All]" allUniqueName="[Dim_Calendario].[Año].[All]" dimensionUniqueName="[Dim_Calendario]" displayFolder="" count="0" memberValueDatatype="20" unbalanced="0"/>
    <cacheHierarchy uniqueName="[Dim_Calendario].[MesN]" caption="MesN" attribute="1" defaultMemberUniqueName="[Dim_Calendario].[MesN].[All]" allUniqueName="[Dim_Calendario].[MesN].[All]" dimensionUniqueName="[Dim_Calendario]" displayFolder="" count="0" memberValueDatatype="20" unbalanced="0"/>
    <cacheHierarchy uniqueName="[Dim_Calendario].[Mes]" caption="Mes" attribute="1" defaultMemberUniqueName="[Dim_Calendario].[Mes].[All]" allUniqueName="[Dim_Calendario].[Mes].[All]" dimensionUniqueName="[Dim_Calendario]" displayFolder="" count="2" memberValueDatatype="130" unbalanced="0">
      <fieldsUsage count="2">
        <fieldUsage x="-1"/>
        <fieldUsage x="0"/>
      </fieldsUsage>
    </cacheHierarchy>
    <cacheHierarchy uniqueName="[Dim_Calendario].[Trimestre]" caption="Trimestre" attribute="1" defaultMemberUniqueName="[Dim_Calendario].[Trimestre].[All]" allUniqueName="[Dim_Calendario].[Trimestre].[All]" dimensionUniqueName="[Dim_Calendario]" displayFolder="" count="0" memberValueDatatype="130" unbalanced="0"/>
    <cacheHierarchy uniqueName="[Dim_Clientes].[ClienteID]" caption="ClienteID" attribute="1" defaultMemberUniqueName="[Dim_Clientes].[ClienteID].[All]" allUniqueName="[Dim_Clientes].[ClienteID].[All]" dimensionUniqueName="[Dim_Clientes]" displayFolder="" count="0" memberValueDatatype="20" unbalanced="0"/>
    <cacheHierarchy uniqueName="[Dim_Clientes].[Cliente]" caption="Cliente" attribute="1" defaultMemberUniqueName="[Dim_Clientes].[Cliente].[All]" allUniqueName="[Dim_Clientes].[Cliente].[All]" dimensionUniqueName="[Dim_Clientes]" displayFolder="" count="0" memberValueDatatype="130" unbalanced="0"/>
    <cacheHierarchy uniqueName="[Dim_Clientes].[Ciudad]" caption="Ciudad" attribute="1" defaultMemberUniqueName="[Dim_Clientes].[Ciudad].[All]" allUniqueName="[Dim_Clientes].[Ciudad].[All]" dimensionUniqueName="[Dim_Clientes]" displayFolder="" count="0" memberValueDatatype="130" unbalanced="0"/>
    <cacheHierarchy uniqueName="[Dim_Productos].[ProductoID]" caption="ProductoID" attribute="1" defaultMemberUniqueName="[Dim_Productos].[ProductoID].[All]" allUniqueName="[Dim_Productos].[ProductoID].[All]" dimensionUniqueName="[Dim_Productos]" displayFolder="" count="0" memberValueDatatype="20" unbalanced="0"/>
    <cacheHierarchy uniqueName="[Dim_Productos].[Producto]" caption="Producto" attribute="1" defaultMemberUniqueName="[Dim_Productos].[Producto].[All]" allUniqueName="[Dim_Productos].[Producto].[All]" dimensionUniqueName="[Dim_Productos]" displayFolder="" count="0" memberValueDatatype="130" unbalanced="0"/>
    <cacheHierarchy uniqueName="[Dim_Productos].[Categoria]" caption="Categoria" attribute="1" defaultMemberUniqueName="[Dim_Productos].[Categoria].[All]" allUniqueName="[Dim_Productos].[Categoria].[All]" dimensionUniqueName="[Dim_Productos]" displayFolder="" count="2" memberValueDatatype="130" unbalanced="0"/>
    <cacheHierarchy uniqueName="[Hechos_Ventas].[VentaID]" caption="VentaID" attribute="1" defaultMemberUniqueName="[Hechos_Ventas].[VentaID].[All]" allUniqueName="[Hechos_Ventas].[VentaID].[All]" dimensionUniqueName="[Hechos_Ventas]" displayFolder="" count="0" memberValueDatatype="20" unbalanced="0"/>
    <cacheHierarchy uniqueName="[Hechos_Ventas].[Fecha]" caption="Fecha" attribute="1" time="1" defaultMemberUniqueName="[Hechos_Ventas].[Fecha].[All]" allUniqueName="[Hechos_Ventas].[Fecha].[All]" dimensionUniqueName="[Hechos_Ventas]" displayFolder="" count="0" memberValueDatatype="7" unbalanced="0"/>
    <cacheHierarchy uniqueName="[Hechos_Ventas].[ClienteID]" caption="ClienteID" attribute="1" defaultMemberUniqueName="[Hechos_Ventas].[ClienteID].[All]" allUniqueName="[Hechos_Ventas].[ClienteID].[All]" dimensionUniqueName="[Hechos_Ventas]" displayFolder="" count="0" memberValueDatatype="20" unbalanced="0"/>
    <cacheHierarchy uniqueName="[Hechos_Ventas].[Cliente]" caption="Cliente" attribute="1" defaultMemberUniqueName="[Hechos_Ventas].[Cliente].[All]" allUniqueName="[Hechos_Ventas].[Cliente].[All]" dimensionUniqueName="[Hechos_Ventas]" displayFolder="" count="0" memberValueDatatype="130" unbalanced="0"/>
    <cacheHierarchy uniqueName="[Hechos_Ventas].[Ciudad]" caption="Ciudad" attribute="1" defaultMemberUniqueName="[Hechos_Ventas].[Ciudad].[All]" allUniqueName="[Hechos_Ventas].[Ciudad].[All]" dimensionUniqueName="[Hechos_Ventas]" displayFolder="" count="0" memberValueDatatype="130" unbalanced="0"/>
    <cacheHierarchy uniqueName="[Hechos_Ventas].[ProductoID]" caption="ProductoID" attribute="1" defaultMemberUniqueName="[Hechos_Ventas].[ProductoID].[All]" allUniqueName="[Hechos_Ventas].[ProductoID].[All]" dimensionUniqueName="[Hechos_Ventas]" displayFolder="" count="0" memberValueDatatype="20" unbalanced="0"/>
    <cacheHierarchy uniqueName="[Hechos_Ventas].[Producto]" caption="Producto" attribute="1" defaultMemberUniqueName="[Hechos_Ventas].[Producto].[All]" allUniqueName="[Hechos_Ventas].[Producto].[All]" dimensionUniqueName="[Hechos_Ventas]" displayFolder="" count="0" memberValueDatatype="130" unbalanced="0"/>
    <cacheHierarchy uniqueName="[Hechos_Ventas].[Categoria]" caption="Categoria" attribute="1" defaultMemberUniqueName="[Hechos_Ventas].[Categoria].[All]" allUniqueName="[Hechos_Ventas].[Categoria].[All]" dimensionUniqueName="[Hechos_Ventas]" displayFolder="" count="0" memberValueDatatype="130" unbalanced="0"/>
    <cacheHierarchy uniqueName="[Hechos_Ventas].[Cantidad]" caption="Cantidad" attribute="1" defaultMemberUniqueName="[Hechos_Ventas].[Cantidad].[All]" allUniqueName="[Hechos_Ventas].[Cantidad].[All]" dimensionUniqueName="[Hechos_Ventas]" displayFolder="" count="0" memberValueDatatype="20" unbalanced="0"/>
    <cacheHierarchy uniqueName="[Hechos_Ventas].[PrecioUnitario]" caption="PrecioUnitario" attribute="1" defaultMemberUniqueName="[Hechos_Ventas].[PrecioUnitario].[All]" allUniqueName="[Hechos_Ventas].[PrecioUnitario].[All]" dimensionUniqueName="[Hechos_Ventas]" displayFolder="" count="0" memberValueDatatype="5" unbalanced="0"/>
    <cacheHierarchy uniqueName="[Hechos_Ventas].[CostoUnitario]" caption="CostoUnitario" attribute="1" defaultMemberUniqueName="[Hechos_Ventas].[CostoUnitario].[All]" allUniqueName="[Hechos_Ventas].[CostoUnitario].[All]" dimensionUniqueName="[Hechos_Ventas]" displayFolder="" count="0" memberValueDatatype="5" unbalanced="0"/>
    <cacheHierarchy uniqueName="[Hechos_Ventas].[VentaNeta]" caption="VentaNeta" attribute="1" defaultMemberUniqueName="[Hechos_Ventas].[VentaNeta].[All]" allUniqueName="[Hechos_Ventas].[VentaNeta].[All]" dimensionUniqueName="[Hechos_Ventas]" displayFolder="" count="0" memberValueDatatype="5" unbalanced="0"/>
    <cacheHierarchy uniqueName="[Hechos_Ventas].[Margen]" caption="Margen" attribute="1" defaultMemberUniqueName="[Hechos_Ventas].[Margen].[All]" allUniqueName="[Hechos_Ventas].[Margen].[All]" dimensionUniqueName="[Hechos_Ventas]" displayFolder="" count="0" memberValueDatatype="5" unbalanced="0"/>
    <cacheHierarchy uniqueName="[Hechos_Ventas 1].[VentaID]" caption="VentaID" attribute="1" defaultMemberUniqueName="[Hechos_Ventas 1].[VentaID].[All]" allUniqueName="[Hechos_Ventas 1].[VentaID].[All]" dimensionUniqueName="[Hechos_Ventas 1]" displayFolder="" count="0" memberValueDatatype="20" unbalanced="0"/>
    <cacheHierarchy uniqueName="[Hechos_Ventas 1].[Fecha]" caption="Fecha" attribute="1" time="1" defaultMemberUniqueName="[Hechos_Ventas 1].[Fecha].[All]" allUniqueName="[Hechos_Ventas 1].[Fecha].[All]" dimensionUniqueName="[Hechos_Ventas 1]" displayFolder="" count="0" memberValueDatatype="7" unbalanced="0"/>
    <cacheHierarchy uniqueName="[Hechos_Ventas 1].[ClienteID]" caption="ClienteID" attribute="1" defaultMemberUniqueName="[Hechos_Ventas 1].[ClienteID].[All]" allUniqueName="[Hechos_Ventas 1].[ClienteID].[All]" dimensionUniqueName="[Hechos_Ventas 1]" displayFolder="" count="0" memberValueDatatype="20" unbalanced="0"/>
    <cacheHierarchy uniqueName="[Hechos_Ventas 1].[Cliente]" caption="Cliente" attribute="1" defaultMemberUniqueName="[Hechos_Ventas 1].[Cliente].[All]" allUniqueName="[Hechos_Ventas 1].[Cliente].[All]" dimensionUniqueName="[Hechos_Ventas 1]" displayFolder="" count="0" memberValueDatatype="130" unbalanced="0"/>
    <cacheHierarchy uniqueName="[Hechos_Ventas 1].[Ciudad]" caption="Ciudad" attribute="1" defaultMemberUniqueName="[Hechos_Ventas 1].[Ciudad].[All]" allUniqueName="[Hechos_Ventas 1].[Ciudad].[All]" dimensionUniqueName="[Hechos_Ventas 1]" displayFolder="" count="0" memberValueDatatype="130" unbalanced="0"/>
    <cacheHierarchy uniqueName="[Hechos_Ventas 1].[ProductoID]" caption="ProductoID" attribute="1" defaultMemberUniqueName="[Hechos_Ventas 1].[ProductoID].[All]" allUniqueName="[Hechos_Ventas 1].[ProductoID].[All]" dimensionUniqueName="[Hechos_Ventas 1]" displayFolder="" count="0" memberValueDatatype="20" unbalanced="0"/>
    <cacheHierarchy uniqueName="[Hechos_Ventas 1].[Producto]" caption="Producto" attribute="1" defaultMemberUniqueName="[Hechos_Ventas 1].[Producto].[All]" allUniqueName="[Hechos_Ventas 1].[Producto].[All]" dimensionUniqueName="[Hechos_Ventas 1]" displayFolder="" count="0" memberValueDatatype="130" unbalanced="0"/>
    <cacheHierarchy uniqueName="[Hechos_Ventas 1].[Categoria]" caption="Categoria" attribute="1" defaultMemberUniqueName="[Hechos_Ventas 1].[Categoria].[All]" allUniqueName="[Hechos_Ventas 1].[Categoria].[All]" dimensionUniqueName="[Hechos_Ventas 1]" displayFolder="" count="0" memberValueDatatype="130" unbalanced="0"/>
    <cacheHierarchy uniqueName="[Hechos_Ventas 1].[Cantidad]" caption="Cantidad" attribute="1" defaultMemberUniqueName="[Hechos_Ventas 1].[Cantidad].[All]" allUniqueName="[Hechos_Ventas 1].[Cantidad].[All]" dimensionUniqueName="[Hechos_Ventas 1]" displayFolder="" count="0" memberValueDatatype="20" unbalanced="0"/>
    <cacheHierarchy uniqueName="[Hechos_Ventas 1].[PrecioUnitario]" caption="PrecioUnitario" attribute="1" defaultMemberUniqueName="[Hechos_Ventas 1].[PrecioUnitario].[All]" allUniqueName="[Hechos_Ventas 1].[PrecioUnitario].[All]" dimensionUniqueName="[Hechos_Ventas 1]" displayFolder="" count="0" memberValueDatatype="20" unbalanced="0"/>
    <cacheHierarchy uniqueName="[Hechos_Ventas 1].[CostoUnitario]" caption="CostoUnitario" attribute="1" defaultMemberUniqueName="[Hechos_Ventas 1].[CostoUnitario].[All]" allUniqueName="[Hechos_Ventas 1].[CostoUnitario].[All]" dimensionUniqueName="[Hechos_Ventas 1]" displayFolder="" count="0" memberValueDatatype="20" unbalanced="0"/>
    <cacheHierarchy uniqueName="[Hechos_Ventas 1].[VentaNeta]" caption="VentaNeta" attribute="1" defaultMemberUniqueName="[Hechos_Ventas 1].[VentaNeta].[All]" allUniqueName="[Hechos_Ventas 1].[VentaNeta].[All]" dimensionUniqueName="[Hechos_Ventas 1]" displayFolder="" count="0" memberValueDatatype="20" unbalanced="0"/>
    <cacheHierarchy uniqueName="[Hechos_Ventas 1].[Margen]" caption="Margen" attribute="1" defaultMemberUniqueName="[Hechos_Ventas 1].[Margen].[All]" allUniqueName="[Hechos_Ventas 1].[Margen].[All]" dimensionUniqueName="[Hechos_Ventas 1]" displayFolder="" count="0" memberValueDatatype="20" unbalanced="0"/>
    <cacheHierarchy uniqueName="[Measures].[Total Ventas]" caption="Total Ventas" measure="1" displayFolder="" measureGroup="Hechos_Ventas" count="0"/>
    <cacheHierarchy uniqueName="[Measures].[Margen Neto]" caption="Margen Neto" measure="1" displayFolder="" measureGroup="Hechos_Ventas" count="0"/>
    <cacheHierarchy uniqueName="[Measures].[Unidades Vendidas]" caption="Unidades Vendidas" measure="1" displayFolder="" measureGroup="Hechos_Ventas" count="0"/>
    <cacheHierarchy uniqueName="[Measures].[__XL_Count Dim_Clientes]" caption="__XL_Count Dim_Clientes" measure="1" displayFolder="" measureGroup="Dim_Clientes" count="0" hidden="1"/>
    <cacheHierarchy uniqueName="[Measures].[__XL_Count Dim_Productos]" caption="__XL_Count Dim_Productos" measure="1" displayFolder="" measureGroup="Dim_Productos" count="0" hidden="1"/>
    <cacheHierarchy uniqueName="[Measures].[__XL_Count Dim_Calendario]" caption="__XL_Count Dim_Calendario" measure="1" displayFolder="" measureGroup="Dim_Calendario" count="0" hidden="1"/>
    <cacheHierarchy uniqueName="[Measures].[__XL_Count Hechos_Ventas]" caption="__XL_Count Hechos_Ventas" measure="1" displayFolder="" measureGroup="Hechos_Ventas" count="0" hidden="1"/>
    <cacheHierarchy uniqueName="[Measures].[__XL_Count Hechos_Ventas 1]" caption="__XL_Count Hechos_Ventas 1" measure="1" displayFolder="" measureGroup="Hechos_Ventas 1" count="0" hidden="1"/>
    <cacheHierarchy uniqueName="[Measures].[__No measures defined]" caption="__No measures defined" measure="1" displayFolder="" count="0" hidden="1"/>
  </cacheHierarchies>
  <kpis count="0"/>
  <dimensions count="6">
    <dimension name="Dim_Calendario" uniqueName="[Dim_Calendario]" caption="Dim_Calendario"/>
    <dimension name="Dim_Clientes" uniqueName="[Dim_Clientes]" caption="Dim_Clientes"/>
    <dimension name="Dim_Productos" uniqueName="[Dim_Productos]" caption="Dim_Productos"/>
    <dimension name="Hechos_Ventas" uniqueName="[Hechos_Ventas]" caption="Hechos_Ventas"/>
    <dimension name="Hechos_Ventas 1" uniqueName="[Hechos_Ventas 1]" caption="Hechos_Ventas 1"/>
    <dimension measure="1" name="Measures" uniqueName="[Measures]" caption="Measures"/>
  </dimensions>
  <measureGroups count="5">
    <measureGroup name="Dim_Calendario" caption="Dim_Calendario"/>
    <measureGroup name="Dim_Clientes" caption="Dim_Clientes"/>
    <measureGroup name="Dim_Productos" caption="Dim_Productos"/>
    <measureGroup name="Hechos_Ventas" caption="Hechos_Ventas"/>
    <measureGroup name="Hechos_Ventas 1" caption="Hechos_Ventas 1"/>
  </measureGroups>
  <maps count="5">
    <map measureGroup="0" dimension="0"/>
    <map measureGroup="1" dimension="1"/>
    <map measureGroup="2" dimension="2"/>
    <map measureGroup="3"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rcela Bustos" refreshedDate="46297.506027546297" createdVersion="8" refreshedVersion="8" minRefreshableVersion="3" recordCount="0" supportSubquery="1" supportAdvancedDrill="1" xr:uid="{05B45C45-BF08-4705-813E-4911CC7B7133}">
  <cacheSource type="external" connectionId="6"/>
  <cacheFields count="2">
    <cacheField name="[Dim_Calendario].[Mes].[Mes]" caption="Mes" numFmtId="0" hierarchy="3" level="1">
      <sharedItems count="6">
        <s v="abril"/>
        <s v="enero"/>
        <s v="febrero"/>
        <s v="junio"/>
        <s v="marzo"/>
        <s v="mayo"/>
      </sharedItems>
    </cacheField>
    <cacheField name="[Measures].[Total Ventas]" caption="Total Ventas" numFmtId="0" hierarchy="37" level="32767"/>
  </cacheFields>
  <cacheHierarchies count="46">
    <cacheHierarchy uniqueName="[Dim_Calendario].[Fecha]" caption="Fecha" attribute="1" time="1" defaultMemberUniqueName="[Dim_Calendario].[Fecha].[All]" allUniqueName="[Dim_Calendario].[Fecha].[All]" dimensionUniqueName="[Dim_Calendario]" displayFolder="" count="2" memberValueDatatype="7" unbalanced="0"/>
    <cacheHierarchy uniqueName="[Dim_Calendario].[Año]" caption="Año" attribute="1" defaultMemberUniqueName="[Dim_Calendario].[Año].[All]" allUniqueName="[Dim_Calendario].[Año].[All]" dimensionUniqueName="[Dim_Calendario]" displayFolder="" count="2" memberValueDatatype="20" unbalanced="0"/>
    <cacheHierarchy uniqueName="[Dim_Calendario].[MesN]" caption="MesN" attribute="1" defaultMemberUniqueName="[Dim_Calendario].[MesN].[All]" allUniqueName="[Dim_Calendario].[MesN].[All]" dimensionUniqueName="[Dim_Calendario]" displayFolder="" count="2" memberValueDatatype="20" unbalanced="0"/>
    <cacheHierarchy uniqueName="[Dim_Calendario].[Mes]" caption="Mes" attribute="1" defaultMemberUniqueName="[Dim_Calendario].[Mes].[All]" allUniqueName="[Dim_Calendario].[Mes].[All]" dimensionUniqueName="[Dim_Calendario]" displayFolder="" count="2" memberValueDatatype="130" unbalanced="0">
      <fieldsUsage count="2">
        <fieldUsage x="-1"/>
        <fieldUsage x="0"/>
      </fieldsUsage>
    </cacheHierarchy>
    <cacheHierarchy uniqueName="[Dim_Calendario].[Trimestre]" caption="Trimestre" attribute="1" defaultMemberUniqueName="[Dim_Calendario].[Trimestre].[All]" allUniqueName="[Dim_Calendario].[Trimestre].[All]" dimensionUniqueName="[Dim_Calendario]" displayFolder="" count="2" memberValueDatatype="130" unbalanced="0"/>
    <cacheHierarchy uniqueName="[Dim_Clientes].[ClienteID]" caption="ClienteID" attribute="1" defaultMemberUniqueName="[Dim_Clientes].[ClienteID].[All]" allUniqueName="[Dim_Clientes].[ClienteID].[All]" dimensionUniqueName="[Dim_Clientes]" displayFolder="" count="2" memberValueDatatype="20" unbalanced="0"/>
    <cacheHierarchy uniqueName="[Dim_Clientes].[Cliente]" caption="Cliente" attribute="1" defaultMemberUniqueName="[Dim_Clientes].[Cliente].[All]" allUniqueName="[Dim_Clientes].[Cliente].[All]" dimensionUniqueName="[Dim_Clientes]" displayFolder="" count="2" memberValueDatatype="130" unbalanced="0"/>
    <cacheHierarchy uniqueName="[Dim_Clientes].[Ciudad]" caption="Ciudad" attribute="1" defaultMemberUniqueName="[Dim_Clientes].[Ciudad].[All]" allUniqueName="[Dim_Clientes].[Ciudad].[All]" dimensionUniqueName="[Dim_Clientes]" displayFolder="" count="2" memberValueDatatype="130" unbalanced="0"/>
    <cacheHierarchy uniqueName="[Dim_Productos].[ProductoID]" caption="ProductoID" attribute="1" defaultMemberUniqueName="[Dim_Productos].[ProductoID].[All]" allUniqueName="[Dim_Productos].[ProductoID].[All]" dimensionUniqueName="[Dim_Productos]" displayFolder="" count="2" memberValueDatatype="20" unbalanced="0"/>
    <cacheHierarchy uniqueName="[Dim_Productos].[Producto]" caption="Producto" attribute="1" defaultMemberUniqueName="[Dim_Productos].[Producto].[All]" allUniqueName="[Dim_Productos].[Producto].[All]" dimensionUniqueName="[Dim_Productos]" displayFolder="" count="2" memberValueDatatype="130" unbalanced="0"/>
    <cacheHierarchy uniqueName="[Dim_Productos].[Categoria]" caption="Categoria" attribute="1" defaultMemberUniqueName="[Dim_Productos].[Categoria].[All]" allUniqueName="[Dim_Productos].[Categoria].[All]" dimensionUniqueName="[Dim_Productos]" displayFolder="" count="2" memberValueDatatype="130" unbalanced="0"/>
    <cacheHierarchy uniqueName="[Hechos_Ventas].[VentaID]" caption="VentaID" attribute="1" defaultMemberUniqueName="[Hechos_Ventas].[VentaID].[All]" allUniqueName="[Hechos_Ventas].[VentaID].[All]" dimensionUniqueName="[Hechos_Ventas]" displayFolder="" count="2" memberValueDatatype="20" unbalanced="0"/>
    <cacheHierarchy uniqueName="[Hechos_Ventas].[Fecha]" caption="Fecha" attribute="1" time="1" defaultMemberUniqueName="[Hechos_Ventas].[Fecha].[All]" allUniqueName="[Hechos_Ventas].[Fecha].[All]" dimensionUniqueName="[Hechos_Ventas]" displayFolder="" count="2" memberValueDatatype="7" unbalanced="0"/>
    <cacheHierarchy uniqueName="[Hechos_Ventas].[ClienteID]" caption="ClienteID" attribute="1" defaultMemberUniqueName="[Hechos_Ventas].[ClienteID].[All]" allUniqueName="[Hechos_Ventas].[ClienteID].[All]" dimensionUniqueName="[Hechos_Ventas]" displayFolder="" count="2" memberValueDatatype="20" unbalanced="0"/>
    <cacheHierarchy uniqueName="[Hechos_Ventas].[Cliente]" caption="Cliente" attribute="1" defaultMemberUniqueName="[Hechos_Ventas].[Cliente].[All]" allUniqueName="[Hechos_Ventas].[Cliente].[All]" dimensionUniqueName="[Hechos_Ventas]" displayFolder="" count="2" memberValueDatatype="130" unbalanced="0"/>
    <cacheHierarchy uniqueName="[Hechos_Ventas].[Ciudad]" caption="Ciudad" attribute="1" defaultMemberUniqueName="[Hechos_Ventas].[Ciudad].[All]" allUniqueName="[Hechos_Ventas].[Ciudad].[All]" dimensionUniqueName="[Hechos_Ventas]" displayFolder="" count="2" memberValueDatatype="130" unbalanced="0"/>
    <cacheHierarchy uniqueName="[Hechos_Ventas].[ProductoID]" caption="ProductoID" attribute="1" defaultMemberUniqueName="[Hechos_Ventas].[ProductoID].[All]" allUniqueName="[Hechos_Ventas].[ProductoID].[All]" dimensionUniqueName="[Hechos_Ventas]" displayFolder="" count="2" memberValueDatatype="20" unbalanced="0"/>
    <cacheHierarchy uniqueName="[Hechos_Ventas].[Producto]" caption="Producto" attribute="1" defaultMemberUniqueName="[Hechos_Ventas].[Producto].[All]" allUniqueName="[Hechos_Ventas].[Producto].[All]" dimensionUniqueName="[Hechos_Ventas]" displayFolder="" count="2" memberValueDatatype="130" unbalanced="0"/>
    <cacheHierarchy uniqueName="[Hechos_Ventas].[Categoria]" caption="Categoria" attribute="1" defaultMemberUniqueName="[Hechos_Ventas].[Categoria].[All]" allUniqueName="[Hechos_Ventas].[Categoria].[All]" dimensionUniqueName="[Hechos_Ventas]" displayFolder="" count="2" memberValueDatatype="130" unbalanced="0"/>
    <cacheHierarchy uniqueName="[Hechos_Ventas].[Cantidad]" caption="Cantidad" attribute="1" defaultMemberUniqueName="[Hechos_Ventas].[Cantidad].[All]" allUniqueName="[Hechos_Ventas].[Cantidad].[All]" dimensionUniqueName="[Hechos_Ventas]" displayFolder="" count="2" memberValueDatatype="20" unbalanced="0"/>
    <cacheHierarchy uniqueName="[Hechos_Ventas].[PrecioUnitario]" caption="PrecioUnitario" attribute="1" defaultMemberUniqueName="[Hechos_Ventas].[PrecioUnitario].[All]" allUniqueName="[Hechos_Ventas].[PrecioUnitario].[All]" dimensionUniqueName="[Hechos_Ventas]" displayFolder="" count="2" memberValueDatatype="5" unbalanced="0"/>
    <cacheHierarchy uniqueName="[Hechos_Ventas].[CostoUnitario]" caption="CostoUnitario" attribute="1" defaultMemberUniqueName="[Hechos_Ventas].[CostoUnitario].[All]" allUniqueName="[Hechos_Ventas].[CostoUnitario].[All]" dimensionUniqueName="[Hechos_Ventas]" displayFolder="" count="2" memberValueDatatype="5" unbalanced="0"/>
    <cacheHierarchy uniqueName="[Hechos_Ventas].[VentaNeta]" caption="VentaNeta" attribute="1" defaultMemberUniqueName="[Hechos_Ventas].[VentaNeta].[All]" allUniqueName="[Hechos_Ventas].[VentaNeta].[All]" dimensionUniqueName="[Hechos_Ventas]" displayFolder="" count="2" memberValueDatatype="5" unbalanced="0"/>
    <cacheHierarchy uniqueName="[Hechos_Ventas].[Margen]" caption="Margen" attribute="1" defaultMemberUniqueName="[Hechos_Ventas].[Margen].[All]" allUniqueName="[Hechos_Ventas].[Margen].[All]" dimensionUniqueName="[Hechos_Ventas]" displayFolder="" count="2" memberValueDatatype="5" unbalanced="0"/>
    <cacheHierarchy uniqueName="[Hechos_Ventas 1].[VentaID]" caption="VentaID" attribute="1" defaultMemberUniqueName="[Hechos_Ventas 1].[VentaID].[All]" allUniqueName="[Hechos_Ventas 1].[VentaID].[All]" dimensionUniqueName="[Hechos_Ventas 1]" displayFolder="" count="2" memberValueDatatype="20" unbalanced="0"/>
    <cacheHierarchy uniqueName="[Hechos_Ventas 1].[Fecha]" caption="Fecha" attribute="1" time="1" defaultMemberUniqueName="[Hechos_Ventas 1].[Fecha].[All]" allUniqueName="[Hechos_Ventas 1].[Fecha].[All]" dimensionUniqueName="[Hechos_Ventas 1]" displayFolder="" count="2" memberValueDatatype="7" unbalanced="0"/>
    <cacheHierarchy uniqueName="[Hechos_Ventas 1].[ClienteID]" caption="ClienteID" attribute="1" defaultMemberUniqueName="[Hechos_Ventas 1].[ClienteID].[All]" allUniqueName="[Hechos_Ventas 1].[ClienteID].[All]" dimensionUniqueName="[Hechos_Ventas 1]" displayFolder="" count="2" memberValueDatatype="20" unbalanced="0"/>
    <cacheHierarchy uniqueName="[Hechos_Ventas 1].[Cliente]" caption="Cliente" attribute="1" defaultMemberUniqueName="[Hechos_Ventas 1].[Cliente].[All]" allUniqueName="[Hechos_Ventas 1].[Cliente].[All]" dimensionUniqueName="[Hechos_Ventas 1]" displayFolder="" count="2" memberValueDatatype="130" unbalanced="0"/>
    <cacheHierarchy uniqueName="[Hechos_Ventas 1].[Ciudad]" caption="Ciudad" attribute="1" defaultMemberUniqueName="[Hechos_Ventas 1].[Ciudad].[All]" allUniqueName="[Hechos_Ventas 1].[Ciudad].[All]" dimensionUniqueName="[Hechos_Ventas 1]" displayFolder="" count="2" memberValueDatatype="130" unbalanced="0"/>
    <cacheHierarchy uniqueName="[Hechos_Ventas 1].[ProductoID]" caption="ProductoID" attribute="1" defaultMemberUniqueName="[Hechos_Ventas 1].[ProductoID].[All]" allUniqueName="[Hechos_Ventas 1].[ProductoID].[All]" dimensionUniqueName="[Hechos_Ventas 1]" displayFolder="" count="2" memberValueDatatype="20" unbalanced="0"/>
    <cacheHierarchy uniqueName="[Hechos_Ventas 1].[Producto]" caption="Producto" attribute="1" defaultMemberUniqueName="[Hechos_Ventas 1].[Producto].[All]" allUniqueName="[Hechos_Ventas 1].[Producto].[All]" dimensionUniqueName="[Hechos_Ventas 1]" displayFolder="" count="2" memberValueDatatype="130" unbalanced="0"/>
    <cacheHierarchy uniqueName="[Hechos_Ventas 1].[Categoria]" caption="Categoria" attribute="1" defaultMemberUniqueName="[Hechos_Ventas 1].[Categoria].[All]" allUniqueName="[Hechos_Ventas 1].[Categoria].[All]" dimensionUniqueName="[Hechos_Ventas 1]" displayFolder="" count="2" memberValueDatatype="130" unbalanced="0"/>
    <cacheHierarchy uniqueName="[Hechos_Ventas 1].[Cantidad]" caption="Cantidad" attribute="1" defaultMemberUniqueName="[Hechos_Ventas 1].[Cantidad].[All]" allUniqueName="[Hechos_Ventas 1].[Cantidad].[All]" dimensionUniqueName="[Hechos_Ventas 1]" displayFolder="" count="2" memberValueDatatype="20" unbalanced="0"/>
    <cacheHierarchy uniqueName="[Hechos_Ventas 1].[PrecioUnitario]" caption="PrecioUnitario" attribute="1" defaultMemberUniqueName="[Hechos_Ventas 1].[PrecioUnitario].[All]" allUniqueName="[Hechos_Ventas 1].[PrecioUnitario].[All]" dimensionUniqueName="[Hechos_Ventas 1]" displayFolder="" count="2" memberValueDatatype="20" unbalanced="0"/>
    <cacheHierarchy uniqueName="[Hechos_Ventas 1].[CostoUnitario]" caption="CostoUnitario" attribute="1" defaultMemberUniqueName="[Hechos_Ventas 1].[CostoUnitario].[All]" allUniqueName="[Hechos_Ventas 1].[CostoUnitario].[All]" dimensionUniqueName="[Hechos_Ventas 1]" displayFolder="" count="2" memberValueDatatype="20" unbalanced="0"/>
    <cacheHierarchy uniqueName="[Hechos_Ventas 1].[VentaNeta]" caption="VentaNeta" attribute="1" defaultMemberUniqueName="[Hechos_Ventas 1].[VentaNeta].[All]" allUniqueName="[Hechos_Ventas 1].[VentaNeta].[All]" dimensionUniqueName="[Hechos_Ventas 1]" displayFolder="" count="2" memberValueDatatype="20" unbalanced="0"/>
    <cacheHierarchy uniqueName="[Hechos_Ventas 1].[Margen]" caption="Margen" attribute="1" defaultMemberUniqueName="[Hechos_Ventas 1].[Margen].[All]" allUniqueName="[Hechos_Ventas 1].[Margen].[All]" dimensionUniqueName="[Hechos_Ventas 1]" displayFolder="" count="2" memberValueDatatype="20" unbalanced="0"/>
    <cacheHierarchy uniqueName="[Measures].[Total Ventas]" caption="Total Ventas" measure="1" displayFolder="" measureGroup="Hechos_Ventas" count="0" oneField="1">
      <fieldsUsage count="1">
        <fieldUsage x="1"/>
      </fieldsUsage>
    </cacheHierarchy>
    <cacheHierarchy uniqueName="[Measures].[Margen Neto]" caption="Margen Neto" measure="1" displayFolder="" measureGroup="Hechos_Ventas" count="0"/>
    <cacheHierarchy uniqueName="[Measures].[Unidades Vendidas]" caption="Unidades Vendidas" measure="1" displayFolder="" measureGroup="Hechos_Ventas" count="0"/>
    <cacheHierarchy uniqueName="[Measures].[__XL_Count Dim_Clientes]" caption="__XL_Count Dim_Clientes" measure="1" displayFolder="" measureGroup="Dim_Clientes" count="0" hidden="1"/>
    <cacheHierarchy uniqueName="[Measures].[__XL_Count Dim_Productos]" caption="__XL_Count Dim_Productos" measure="1" displayFolder="" measureGroup="Dim_Productos" count="0" hidden="1"/>
    <cacheHierarchy uniqueName="[Measures].[__XL_Count Dim_Calendario]" caption="__XL_Count Dim_Calendario" measure="1" displayFolder="" measureGroup="Dim_Calendario" count="0" hidden="1"/>
    <cacheHierarchy uniqueName="[Measures].[__XL_Count Hechos_Ventas]" caption="__XL_Count Hechos_Ventas" measure="1" displayFolder="" measureGroup="Hechos_Ventas" count="0" hidden="1"/>
    <cacheHierarchy uniqueName="[Measures].[__XL_Count Hechos_Ventas 1]" caption="__XL_Count Hechos_Ventas 1" measure="1" displayFolder="" measureGroup="Hechos_Ventas 1" count="0" hidden="1"/>
    <cacheHierarchy uniqueName="[Measures].[__No measures defined]" caption="__No measures defined" measure="1" displayFolder="" count="0" hidden="1"/>
  </cacheHierarchies>
  <kpis count="0"/>
  <dimensions count="6">
    <dimension name="Dim_Calendario" uniqueName="[Dim_Calendario]" caption="Dim_Calendario"/>
    <dimension name="Dim_Clientes" uniqueName="[Dim_Clientes]" caption="Dim_Clientes"/>
    <dimension name="Dim_Productos" uniqueName="[Dim_Productos]" caption="Dim_Productos"/>
    <dimension name="Hechos_Ventas" uniqueName="[Hechos_Ventas]" caption="Hechos_Ventas"/>
    <dimension name="Hechos_Ventas 1" uniqueName="[Hechos_Ventas 1]" caption="Hechos_Ventas 1"/>
    <dimension measure="1" name="Measures" uniqueName="[Measures]" caption="Measures"/>
  </dimensions>
  <measureGroups count="5">
    <measureGroup name="Dim_Calendario" caption="Dim_Calendario"/>
    <measureGroup name="Dim_Clientes" caption="Dim_Clientes"/>
    <measureGroup name="Dim_Productos" caption="Dim_Productos"/>
    <measureGroup name="Hechos_Ventas" caption="Hechos_Ventas"/>
    <measureGroup name="Hechos_Ventas 1" caption="Hechos_Ventas 1"/>
  </measureGroups>
  <maps count="7">
    <map measureGroup="0" dimension="0"/>
    <map measureGroup="1" dimension="1"/>
    <map measureGroup="2" dimension="2"/>
    <map measureGroup="3" dimension="0"/>
    <map measureGroup="3" dimension="2"/>
    <map measureGroup="3"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rcela Bustos" refreshedDate="46297.50602789352" createdVersion="8" refreshedVersion="8" minRefreshableVersion="3" recordCount="0" supportSubquery="1" supportAdvancedDrill="1" xr:uid="{934C0126-5468-46AD-B128-06BFDACE0D25}">
  <cacheSource type="external" connectionId="6"/>
  <cacheFields count="3">
    <cacheField name="[Dim_Productos].[Producto].[Producto]" caption="Producto" numFmtId="0" hierarchy="9" level="1">
      <sharedItems count="6">
        <s v="Escritorio Ejecutivo"/>
        <s v="Laptop Pro"/>
        <s v="Monitor 27"/>
        <s v="Mouse Inalambrico"/>
        <s v="Silla Ergonomica"/>
        <s v="Teclado Mecanico"/>
      </sharedItems>
    </cacheField>
    <cacheField name="[Measures].[Margen Neto]" caption="Margen Neto" numFmtId="0" hierarchy="38" level="32767"/>
    <cacheField name="[Dim_Calendario].[Mes].[Mes]" caption="Mes" numFmtId="0" hierarchy="3" level="1">
      <sharedItems containsSemiMixedTypes="0" containsNonDate="0" containsString="0"/>
    </cacheField>
  </cacheFields>
  <cacheHierarchies count="46">
    <cacheHierarchy uniqueName="[Dim_Calendario].[Fecha]" caption="Fecha" attribute="1" time="1" defaultMemberUniqueName="[Dim_Calendario].[Fecha].[All]" allUniqueName="[Dim_Calendario].[Fecha].[All]" dimensionUniqueName="[Dim_Calendario]" displayFolder="" count="0" memberValueDatatype="7" unbalanced="0"/>
    <cacheHierarchy uniqueName="[Dim_Calendario].[Año]" caption="Año" attribute="1" defaultMemberUniqueName="[Dim_Calendario].[Año].[All]" allUniqueName="[Dim_Calendario].[Año].[All]" dimensionUniqueName="[Dim_Calendario]" displayFolder="" count="0" memberValueDatatype="20" unbalanced="0"/>
    <cacheHierarchy uniqueName="[Dim_Calendario].[MesN]" caption="MesN" attribute="1" defaultMemberUniqueName="[Dim_Calendario].[MesN].[All]" allUniqueName="[Dim_Calendario].[MesN].[All]" dimensionUniqueName="[Dim_Calendario]" displayFolder="" count="0" memberValueDatatype="20" unbalanced="0"/>
    <cacheHierarchy uniqueName="[Dim_Calendario].[Mes]" caption="Mes" attribute="1" defaultMemberUniqueName="[Dim_Calendario].[Mes].[All]" allUniqueName="[Dim_Calendario].[Mes].[All]" dimensionUniqueName="[Dim_Calendario]" displayFolder="" count="2" memberValueDatatype="130" unbalanced="0">
      <fieldsUsage count="2">
        <fieldUsage x="-1"/>
        <fieldUsage x="2"/>
      </fieldsUsage>
    </cacheHierarchy>
    <cacheHierarchy uniqueName="[Dim_Calendario].[Trimestre]" caption="Trimestre" attribute="1" defaultMemberUniqueName="[Dim_Calendario].[Trimestre].[All]" allUniqueName="[Dim_Calendario].[Trimestre].[All]" dimensionUniqueName="[Dim_Calendario]" displayFolder="" count="0" memberValueDatatype="130" unbalanced="0"/>
    <cacheHierarchy uniqueName="[Dim_Clientes].[ClienteID]" caption="ClienteID" attribute="1" defaultMemberUniqueName="[Dim_Clientes].[ClienteID].[All]" allUniqueName="[Dim_Clientes].[ClienteID].[All]" dimensionUniqueName="[Dim_Clientes]" displayFolder="" count="0" memberValueDatatype="20" unbalanced="0"/>
    <cacheHierarchy uniqueName="[Dim_Clientes].[Cliente]" caption="Cliente" attribute="1" defaultMemberUniqueName="[Dim_Clientes].[Cliente].[All]" allUniqueName="[Dim_Clientes].[Cliente].[All]" dimensionUniqueName="[Dim_Clientes]" displayFolder="" count="0" memberValueDatatype="130" unbalanced="0"/>
    <cacheHierarchy uniqueName="[Dim_Clientes].[Ciudad]" caption="Ciudad" attribute="1" defaultMemberUniqueName="[Dim_Clientes].[Ciudad].[All]" allUniqueName="[Dim_Clientes].[Ciudad].[All]" dimensionUniqueName="[Dim_Clientes]" displayFolder="" count="0" memberValueDatatype="130" unbalanced="0"/>
    <cacheHierarchy uniqueName="[Dim_Productos].[ProductoID]" caption="ProductoID" attribute="1" defaultMemberUniqueName="[Dim_Productos].[ProductoID].[All]" allUniqueName="[Dim_Productos].[ProductoID].[All]" dimensionUniqueName="[Dim_Productos]" displayFolder="" count="0" memberValueDatatype="20" unbalanced="0"/>
    <cacheHierarchy uniqueName="[Dim_Productos].[Producto]" caption="Producto" attribute="1" defaultMemberUniqueName="[Dim_Productos].[Producto].[All]" allUniqueName="[Dim_Productos].[Producto].[All]" dimensionUniqueName="[Dim_Productos]" displayFolder="" count="2" memberValueDatatype="130" unbalanced="0">
      <fieldsUsage count="2">
        <fieldUsage x="-1"/>
        <fieldUsage x="0"/>
      </fieldsUsage>
    </cacheHierarchy>
    <cacheHierarchy uniqueName="[Dim_Productos].[Categoria]" caption="Categoria" attribute="1" defaultMemberUniqueName="[Dim_Productos].[Categoria].[All]" allUniqueName="[Dim_Productos].[Categoria].[All]" dimensionUniqueName="[Dim_Productos]" displayFolder="" count="2" memberValueDatatype="130" unbalanced="0"/>
    <cacheHierarchy uniqueName="[Hechos_Ventas].[VentaID]" caption="VentaID" attribute="1" defaultMemberUniqueName="[Hechos_Ventas].[VentaID].[All]" allUniqueName="[Hechos_Ventas].[VentaID].[All]" dimensionUniqueName="[Hechos_Ventas]" displayFolder="" count="0" memberValueDatatype="20" unbalanced="0"/>
    <cacheHierarchy uniqueName="[Hechos_Ventas].[Fecha]" caption="Fecha" attribute="1" time="1" defaultMemberUniqueName="[Hechos_Ventas].[Fecha].[All]" allUniqueName="[Hechos_Ventas].[Fecha].[All]" dimensionUniqueName="[Hechos_Ventas]" displayFolder="" count="0" memberValueDatatype="7" unbalanced="0"/>
    <cacheHierarchy uniqueName="[Hechos_Ventas].[ClienteID]" caption="ClienteID" attribute="1" defaultMemberUniqueName="[Hechos_Ventas].[ClienteID].[All]" allUniqueName="[Hechos_Ventas].[ClienteID].[All]" dimensionUniqueName="[Hechos_Ventas]" displayFolder="" count="0" memberValueDatatype="20" unbalanced="0"/>
    <cacheHierarchy uniqueName="[Hechos_Ventas].[Cliente]" caption="Cliente" attribute="1" defaultMemberUniqueName="[Hechos_Ventas].[Cliente].[All]" allUniqueName="[Hechos_Ventas].[Cliente].[All]" dimensionUniqueName="[Hechos_Ventas]" displayFolder="" count="0" memberValueDatatype="130" unbalanced="0"/>
    <cacheHierarchy uniqueName="[Hechos_Ventas].[Ciudad]" caption="Ciudad" attribute="1" defaultMemberUniqueName="[Hechos_Ventas].[Ciudad].[All]" allUniqueName="[Hechos_Ventas].[Ciudad].[All]" dimensionUniqueName="[Hechos_Ventas]" displayFolder="" count="0" memberValueDatatype="130" unbalanced="0"/>
    <cacheHierarchy uniqueName="[Hechos_Ventas].[ProductoID]" caption="ProductoID" attribute="1" defaultMemberUniqueName="[Hechos_Ventas].[ProductoID].[All]" allUniqueName="[Hechos_Ventas].[ProductoID].[All]" dimensionUniqueName="[Hechos_Ventas]" displayFolder="" count="0" memberValueDatatype="20" unbalanced="0"/>
    <cacheHierarchy uniqueName="[Hechos_Ventas].[Producto]" caption="Producto" attribute="1" defaultMemberUniqueName="[Hechos_Ventas].[Producto].[All]" allUniqueName="[Hechos_Ventas].[Producto].[All]" dimensionUniqueName="[Hechos_Ventas]" displayFolder="" count="0" memberValueDatatype="130" unbalanced="0"/>
    <cacheHierarchy uniqueName="[Hechos_Ventas].[Categoria]" caption="Categoria" attribute="1" defaultMemberUniqueName="[Hechos_Ventas].[Categoria].[All]" allUniqueName="[Hechos_Ventas].[Categoria].[All]" dimensionUniqueName="[Hechos_Ventas]" displayFolder="" count="0" memberValueDatatype="130" unbalanced="0"/>
    <cacheHierarchy uniqueName="[Hechos_Ventas].[Cantidad]" caption="Cantidad" attribute="1" defaultMemberUniqueName="[Hechos_Ventas].[Cantidad].[All]" allUniqueName="[Hechos_Ventas].[Cantidad].[All]" dimensionUniqueName="[Hechos_Ventas]" displayFolder="" count="0" memberValueDatatype="20" unbalanced="0"/>
    <cacheHierarchy uniqueName="[Hechos_Ventas].[PrecioUnitario]" caption="PrecioUnitario" attribute="1" defaultMemberUniqueName="[Hechos_Ventas].[PrecioUnitario].[All]" allUniqueName="[Hechos_Ventas].[PrecioUnitario].[All]" dimensionUniqueName="[Hechos_Ventas]" displayFolder="" count="0" memberValueDatatype="5" unbalanced="0"/>
    <cacheHierarchy uniqueName="[Hechos_Ventas].[CostoUnitario]" caption="CostoUnitario" attribute="1" defaultMemberUniqueName="[Hechos_Ventas].[CostoUnitario].[All]" allUniqueName="[Hechos_Ventas].[CostoUnitario].[All]" dimensionUniqueName="[Hechos_Ventas]" displayFolder="" count="0" memberValueDatatype="5" unbalanced="0"/>
    <cacheHierarchy uniqueName="[Hechos_Ventas].[VentaNeta]" caption="VentaNeta" attribute="1" defaultMemberUniqueName="[Hechos_Ventas].[VentaNeta].[All]" allUniqueName="[Hechos_Ventas].[VentaNeta].[All]" dimensionUniqueName="[Hechos_Ventas]" displayFolder="" count="0" memberValueDatatype="5" unbalanced="0"/>
    <cacheHierarchy uniqueName="[Hechos_Ventas].[Margen]" caption="Margen" attribute="1" defaultMemberUniqueName="[Hechos_Ventas].[Margen].[All]" allUniqueName="[Hechos_Ventas].[Margen].[All]" dimensionUniqueName="[Hechos_Ventas]" displayFolder="" count="0" memberValueDatatype="5" unbalanced="0"/>
    <cacheHierarchy uniqueName="[Hechos_Ventas 1].[VentaID]" caption="VentaID" attribute="1" defaultMemberUniqueName="[Hechos_Ventas 1].[VentaID].[All]" allUniqueName="[Hechos_Ventas 1].[VentaID].[All]" dimensionUniqueName="[Hechos_Ventas 1]" displayFolder="" count="0" memberValueDatatype="20" unbalanced="0"/>
    <cacheHierarchy uniqueName="[Hechos_Ventas 1].[Fecha]" caption="Fecha" attribute="1" time="1" defaultMemberUniqueName="[Hechos_Ventas 1].[Fecha].[All]" allUniqueName="[Hechos_Ventas 1].[Fecha].[All]" dimensionUniqueName="[Hechos_Ventas 1]" displayFolder="" count="0" memberValueDatatype="7" unbalanced="0"/>
    <cacheHierarchy uniqueName="[Hechos_Ventas 1].[ClienteID]" caption="ClienteID" attribute="1" defaultMemberUniqueName="[Hechos_Ventas 1].[ClienteID].[All]" allUniqueName="[Hechos_Ventas 1].[ClienteID].[All]" dimensionUniqueName="[Hechos_Ventas 1]" displayFolder="" count="0" memberValueDatatype="20" unbalanced="0"/>
    <cacheHierarchy uniqueName="[Hechos_Ventas 1].[Cliente]" caption="Cliente" attribute="1" defaultMemberUniqueName="[Hechos_Ventas 1].[Cliente].[All]" allUniqueName="[Hechos_Ventas 1].[Cliente].[All]" dimensionUniqueName="[Hechos_Ventas 1]" displayFolder="" count="0" memberValueDatatype="130" unbalanced="0"/>
    <cacheHierarchy uniqueName="[Hechos_Ventas 1].[Ciudad]" caption="Ciudad" attribute="1" defaultMemberUniqueName="[Hechos_Ventas 1].[Ciudad].[All]" allUniqueName="[Hechos_Ventas 1].[Ciudad].[All]" dimensionUniqueName="[Hechos_Ventas 1]" displayFolder="" count="0" memberValueDatatype="130" unbalanced="0"/>
    <cacheHierarchy uniqueName="[Hechos_Ventas 1].[ProductoID]" caption="ProductoID" attribute="1" defaultMemberUniqueName="[Hechos_Ventas 1].[ProductoID].[All]" allUniqueName="[Hechos_Ventas 1].[ProductoID].[All]" dimensionUniqueName="[Hechos_Ventas 1]" displayFolder="" count="0" memberValueDatatype="20" unbalanced="0"/>
    <cacheHierarchy uniqueName="[Hechos_Ventas 1].[Producto]" caption="Producto" attribute="1" defaultMemberUniqueName="[Hechos_Ventas 1].[Producto].[All]" allUniqueName="[Hechos_Ventas 1].[Producto].[All]" dimensionUniqueName="[Hechos_Ventas 1]" displayFolder="" count="0" memberValueDatatype="130" unbalanced="0"/>
    <cacheHierarchy uniqueName="[Hechos_Ventas 1].[Categoria]" caption="Categoria" attribute="1" defaultMemberUniqueName="[Hechos_Ventas 1].[Categoria].[All]" allUniqueName="[Hechos_Ventas 1].[Categoria].[All]" dimensionUniqueName="[Hechos_Ventas 1]" displayFolder="" count="0" memberValueDatatype="130" unbalanced="0"/>
    <cacheHierarchy uniqueName="[Hechos_Ventas 1].[Cantidad]" caption="Cantidad" attribute="1" defaultMemberUniqueName="[Hechos_Ventas 1].[Cantidad].[All]" allUniqueName="[Hechos_Ventas 1].[Cantidad].[All]" dimensionUniqueName="[Hechos_Ventas 1]" displayFolder="" count="0" memberValueDatatype="20" unbalanced="0"/>
    <cacheHierarchy uniqueName="[Hechos_Ventas 1].[PrecioUnitario]" caption="PrecioUnitario" attribute="1" defaultMemberUniqueName="[Hechos_Ventas 1].[PrecioUnitario].[All]" allUniqueName="[Hechos_Ventas 1].[PrecioUnitario].[All]" dimensionUniqueName="[Hechos_Ventas 1]" displayFolder="" count="0" memberValueDatatype="20" unbalanced="0"/>
    <cacheHierarchy uniqueName="[Hechos_Ventas 1].[CostoUnitario]" caption="CostoUnitario" attribute="1" defaultMemberUniqueName="[Hechos_Ventas 1].[CostoUnitario].[All]" allUniqueName="[Hechos_Ventas 1].[CostoUnitario].[All]" dimensionUniqueName="[Hechos_Ventas 1]" displayFolder="" count="0" memberValueDatatype="20" unbalanced="0"/>
    <cacheHierarchy uniqueName="[Hechos_Ventas 1].[VentaNeta]" caption="VentaNeta" attribute="1" defaultMemberUniqueName="[Hechos_Ventas 1].[VentaNeta].[All]" allUniqueName="[Hechos_Ventas 1].[VentaNeta].[All]" dimensionUniqueName="[Hechos_Ventas 1]" displayFolder="" count="0" memberValueDatatype="20" unbalanced="0"/>
    <cacheHierarchy uniqueName="[Hechos_Ventas 1].[Margen]" caption="Margen" attribute="1" defaultMemberUniqueName="[Hechos_Ventas 1].[Margen].[All]" allUniqueName="[Hechos_Ventas 1].[Margen].[All]" dimensionUniqueName="[Hechos_Ventas 1]" displayFolder="" count="0" memberValueDatatype="20" unbalanced="0"/>
    <cacheHierarchy uniqueName="[Measures].[Total Ventas]" caption="Total Ventas" measure="1" displayFolder="" measureGroup="Hechos_Ventas" count="0"/>
    <cacheHierarchy uniqueName="[Measures].[Margen Neto]" caption="Margen Neto" measure="1" displayFolder="" measureGroup="Hechos_Ventas" count="0" oneField="1">
      <fieldsUsage count="1">
        <fieldUsage x="1"/>
      </fieldsUsage>
    </cacheHierarchy>
    <cacheHierarchy uniqueName="[Measures].[Unidades Vendidas]" caption="Unidades Vendidas" measure="1" displayFolder="" measureGroup="Hechos_Ventas" count="0"/>
    <cacheHierarchy uniqueName="[Measures].[__XL_Count Dim_Clientes]" caption="__XL_Count Dim_Clientes" measure="1" displayFolder="" measureGroup="Dim_Clientes" count="0" hidden="1"/>
    <cacheHierarchy uniqueName="[Measures].[__XL_Count Dim_Productos]" caption="__XL_Count Dim_Productos" measure="1" displayFolder="" measureGroup="Dim_Productos" count="0" hidden="1"/>
    <cacheHierarchy uniqueName="[Measures].[__XL_Count Dim_Calendario]" caption="__XL_Count Dim_Calendario" measure="1" displayFolder="" measureGroup="Dim_Calendario" count="0" hidden="1"/>
    <cacheHierarchy uniqueName="[Measures].[__XL_Count Hechos_Ventas]" caption="__XL_Count Hechos_Ventas" measure="1" displayFolder="" measureGroup="Hechos_Ventas" count="0" hidden="1"/>
    <cacheHierarchy uniqueName="[Measures].[__XL_Count Hechos_Ventas 1]" caption="__XL_Count Hechos_Ventas 1" measure="1" displayFolder="" measureGroup="Hechos_Ventas 1" count="0" hidden="1"/>
    <cacheHierarchy uniqueName="[Measures].[__No measures defined]" caption="__No measures defined" measure="1" displayFolder="" count="0" hidden="1"/>
  </cacheHierarchies>
  <kpis count="0"/>
  <dimensions count="6">
    <dimension name="Dim_Calendario" uniqueName="[Dim_Calendario]" caption="Dim_Calendario"/>
    <dimension name="Dim_Clientes" uniqueName="[Dim_Clientes]" caption="Dim_Clientes"/>
    <dimension name="Dim_Productos" uniqueName="[Dim_Productos]" caption="Dim_Productos"/>
    <dimension name="Hechos_Ventas" uniqueName="[Hechos_Ventas]" caption="Hechos_Ventas"/>
    <dimension name="Hechos_Ventas 1" uniqueName="[Hechos_Ventas 1]" caption="Hechos_Ventas 1"/>
    <dimension measure="1" name="Measures" uniqueName="[Measures]" caption="Measures"/>
  </dimensions>
  <measureGroups count="5">
    <measureGroup name="Dim_Calendario" caption="Dim_Calendario"/>
    <measureGroup name="Dim_Clientes" caption="Dim_Clientes"/>
    <measureGroup name="Dim_Productos" caption="Dim_Productos"/>
    <measureGroup name="Hechos_Ventas" caption="Hechos_Ventas"/>
    <measureGroup name="Hechos_Ventas 1" caption="Hechos_Ventas 1"/>
  </measureGroups>
  <maps count="7">
    <map measureGroup="0" dimension="0"/>
    <map measureGroup="1" dimension="1"/>
    <map measureGroup="2" dimension="2"/>
    <map measureGroup="3" dimension="0"/>
    <map measureGroup="3" dimension="2"/>
    <map measureGroup="3"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rcela Bustos" refreshedDate="46297.481441666663" createdVersion="3" refreshedVersion="8" minRefreshableVersion="3" recordCount="0" supportSubquery="1" supportAdvancedDrill="1" xr:uid="{EC90E393-613B-4B63-AFE6-7EC898D3009D}">
  <cacheSource type="external" connectionId="6">
    <extLst>
      <ext xmlns:x14="http://schemas.microsoft.com/office/spreadsheetml/2009/9/main" uri="{F057638F-6D5F-4e77-A914-E7F072B9BCA8}">
        <x14:sourceConnection name="ThisWorkbookDataModel"/>
      </ext>
    </extLst>
  </cacheSource>
  <cacheFields count="0"/>
  <cacheHierarchies count="46">
    <cacheHierarchy uniqueName="[Dim_Calendario].[Fecha]" caption="Fecha" attribute="1" time="1" defaultMemberUniqueName="[Dim_Calendario].[Fecha].[All]" allUniqueName="[Dim_Calendario].[Fecha].[All]" dimensionUniqueName="[Dim_Calendario]" displayFolder="" count="0" memberValueDatatype="7" unbalanced="0"/>
    <cacheHierarchy uniqueName="[Dim_Calendario].[Año]" caption="Año" attribute="1" defaultMemberUniqueName="[Dim_Calendario].[Año].[All]" allUniqueName="[Dim_Calendario].[Año].[All]" dimensionUniqueName="[Dim_Calendario]" displayFolder="" count="0" memberValueDatatype="20" unbalanced="0"/>
    <cacheHierarchy uniqueName="[Dim_Calendario].[MesN]" caption="MesN" attribute="1" defaultMemberUniqueName="[Dim_Calendario].[MesN].[All]" allUniqueName="[Dim_Calendario].[MesN].[All]" dimensionUniqueName="[Dim_Calendario]" displayFolder="" count="0" memberValueDatatype="20" unbalanced="0"/>
    <cacheHierarchy uniqueName="[Dim_Calendario].[Mes]" caption="Mes" attribute="1" defaultMemberUniqueName="[Dim_Calendario].[Mes].[All]" allUniqueName="[Dim_Calendario].[Mes].[All]" dimensionUniqueName="[Dim_Calendario]" displayFolder="" count="2" memberValueDatatype="130" unbalanced="0"/>
    <cacheHierarchy uniqueName="[Dim_Calendario].[Trimestre]" caption="Trimestre" attribute="1" defaultMemberUniqueName="[Dim_Calendario].[Trimestre].[All]" allUniqueName="[Dim_Calendario].[Trimestre].[All]" dimensionUniqueName="[Dim_Calendario]" displayFolder="" count="0" memberValueDatatype="130" unbalanced="0"/>
    <cacheHierarchy uniqueName="[Dim_Clientes].[ClienteID]" caption="ClienteID" attribute="1" defaultMemberUniqueName="[Dim_Clientes].[ClienteID].[All]" allUniqueName="[Dim_Clientes].[ClienteID].[All]" dimensionUniqueName="[Dim_Clientes]" displayFolder="" count="0" memberValueDatatype="20" unbalanced="0"/>
    <cacheHierarchy uniqueName="[Dim_Clientes].[Cliente]" caption="Cliente" attribute="1" defaultMemberUniqueName="[Dim_Clientes].[Cliente].[All]" allUniqueName="[Dim_Clientes].[Cliente].[All]" dimensionUniqueName="[Dim_Clientes]" displayFolder="" count="0" memberValueDatatype="130" unbalanced="0"/>
    <cacheHierarchy uniqueName="[Dim_Clientes].[Ciudad]" caption="Ciudad" attribute="1" defaultMemberUniqueName="[Dim_Clientes].[Ciudad].[All]" allUniqueName="[Dim_Clientes].[Ciudad].[All]" dimensionUniqueName="[Dim_Clientes]" displayFolder="" count="0" memberValueDatatype="130" unbalanced="0"/>
    <cacheHierarchy uniqueName="[Dim_Productos].[ProductoID]" caption="ProductoID" attribute="1" defaultMemberUniqueName="[Dim_Productos].[ProductoID].[All]" allUniqueName="[Dim_Productos].[ProductoID].[All]" dimensionUniqueName="[Dim_Productos]" displayFolder="" count="0" memberValueDatatype="20" unbalanced="0"/>
    <cacheHierarchy uniqueName="[Dim_Productos].[Producto]" caption="Producto" attribute="1" defaultMemberUniqueName="[Dim_Productos].[Producto].[All]" allUniqueName="[Dim_Productos].[Producto].[All]" dimensionUniqueName="[Dim_Productos]" displayFolder="" count="0" memberValueDatatype="130" unbalanced="0"/>
    <cacheHierarchy uniqueName="[Dim_Productos].[Categoria]" caption="Categoria" attribute="1" defaultMemberUniqueName="[Dim_Productos].[Categoria].[All]" allUniqueName="[Dim_Productos].[Categoria].[All]" dimensionUniqueName="[Dim_Productos]" displayFolder="" count="2" memberValueDatatype="130" unbalanced="0"/>
    <cacheHierarchy uniqueName="[Hechos_Ventas].[VentaID]" caption="VentaID" attribute="1" defaultMemberUniqueName="[Hechos_Ventas].[VentaID].[All]" allUniqueName="[Hechos_Ventas].[VentaID].[All]" dimensionUniqueName="[Hechos_Ventas]" displayFolder="" count="0" memberValueDatatype="20" unbalanced="0"/>
    <cacheHierarchy uniqueName="[Hechos_Ventas].[Fecha]" caption="Fecha" attribute="1" time="1" defaultMemberUniqueName="[Hechos_Ventas].[Fecha].[All]" allUniqueName="[Hechos_Ventas].[Fecha].[All]" dimensionUniqueName="[Hechos_Ventas]" displayFolder="" count="0" memberValueDatatype="7" unbalanced="0"/>
    <cacheHierarchy uniqueName="[Hechos_Ventas].[ClienteID]" caption="ClienteID" attribute="1" defaultMemberUniqueName="[Hechos_Ventas].[ClienteID].[All]" allUniqueName="[Hechos_Ventas].[ClienteID].[All]" dimensionUniqueName="[Hechos_Ventas]" displayFolder="" count="0" memberValueDatatype="20" unbalanced="0"/>
    <cacheHierarchy uniqueName="[Hechos_Ventas].[Cliente]" caption="Cliente" attribute="1" defaultMemberUniqueName="[Hechos_Ventas].[Cliente].[All]" allUniqueName="[Hechos_Ventas].[Cliente].[All]" dimensionUniqueName="[Hechos_Ventas]" displayFolder="" count="0" memberValueDatatype="130" unbalanced="0"/>
    <cacheHierarchy uniqueName="[Hechos_Ventas].[Ciudad]" caption="Ciudad" attribute="1" defaultMemberUniqueName="[Hechos_Ventas].[Ciudad].[All]" allUniqueName="[Hechos_Ventas].[Ciudad].[All]" dimensionUniqueName="[Hechos_Ventas]" displayFolder="" count="0" memberValueDatatype="130" unbalanced="0"/>
    <cacheHierarchy uniqueName="[Hechos_Ventas].[ProductoID]" caption="ProductoID" attribute="1" defaultMemberUniqueName="[Hechos_Ventas].[ProductoID].[All]" allUniqueName="[Hechos_Ventas].[ProductoID].[All]" dimensionUniqueName="[Hechos_Ventas]" displayFolder="" count="0" memberValueDatatype="20" unbalanced="0"/>
    <cacheHierarchy uniqueName="[Hechos_Ventas].[Producto]" caption="Producto" attribute="1" defaultMemberUniqueName="[Hechos_Ventas].[Producto].[All]" allUniqueName="[Hechos_Ventas].[Producto].[All]" dimensionUniqueName="[Hechos_Ventas]" displayFolder="" count="0" memberValueDatatype="130" unbalanced="0"/>
    <cacheHierarchy uniqueName="[Hechos_Ventas].[Categoria]" caption="Categoria" attribute="1" defaultMemberUniqueName="[Hechos_Ventas].[Categoria].[All]" allUniqueName="[Hechos_Ventas].[Categoria].[All]" dimensionUniqueName="[Hechos_Ventas]" displayFolder="" count="0" memberValueDatatype="130" unbalanced="0"/>
    <cacheHierarchy uniqueName="[Hechos_Ventas].[Cantidad]" caption="Cantidad" attribute="1" defaultMemberUniqueName="[Hechos_Ventas].[Cantidad].[All]" allUniqueName="[Hechos_Ventas].[Cantidad].[All]" dimensionUniqueName="[Hechos_Ventas]" displayFolder="" count="0" memberValueDatatype="20" unbalanced="0"/>
    <cacheHierarchy uniqueName="[Hechos_Ventas].[PrecioUnitario]" caption="PrecioUnitario" attribute="1" defaultMemberUniqueName="[Hechos_Ventas].[PrecioUnitario].[All]" allUniqueName="[Hechos_Ventas].[PrecioUnitario].[All]" dimensionUniqueName="[Hechos_Ventas]" displayFolder="" count="0" memberValueDatatype="5" unbalanced="0"/>
    <cacheHierarchy uniqueName="[Hechos_Ventas].[CostoUnitario]" caption="CostoUnitario" attribute="1" defaultMemberUniqueName="[Hechos_Ventas].[CostoUnitario].[All]" allUniqueName="[Hechos_Ventas].[CostoUnitario].[All]" dimensionUniqueName="[Hechos_Ventas]" displayFolder="" count="0" memberValueDatatype="5" unbalanced="0"/>
    <cacheHierarchy uniqueName="[Hechos_Ventas].[VentaNeta]" caption="VentaNeta" attribute="1" defaultMemberUniqueName="[Hechos_Ventas].[VentaNeta].[All]" allUniqueName="[Hechos_Ventas].[VentaNeta].[All]" dimensionUniqueName="[Hechos_Ventas]" displayFolder="" count="0" memberValueDatatype="5" unbalanced="0"/>
    <cacheHierarchy uniqueName="[Hechos_Ventas].[Margen]" caption="Margen" attribute="1" defaultMemberUniqueName="[Hechos_Ventas].[Margen].[All]" allUniqueName="[Hechos_Ventas].[Margen].[All]" dimensionUniqueName="[Hechos_Ventas]" displayFolder="" count="0" memberValueDatatype="5" unbalanced="0"/>
    <cacheHierarchy uniqueName="[Hechos_Ventas 1].[VentaID]" caption="VentaID" attribute="1" defaultMemberUniqueName="[Hechos_Ventas 1].[VentaID].[All]" allUniqueName="[Hechos_Ventas 1].[VentaID].[All]" dimensionUniqueName="[Hechos_Ventas 1]" displayFolder="" count="0" memberValueDatatype="20" unbalanced="0"/>
    <cacheHierarchy uniqueName="[Hechos_Ventas 1].[Fecha]" caption="Fecha" attribute="1" time="1" defaultMemberUniqueName="[Hechos_Ventas 1].[Fecha].[All]" allUniqueName="[Hechos_Ventas 1].[Fecha].[All]" dimensionUniqueName="[Hechos_Ventas 1]" displayFolder="" count="0" memberValueDatatype="7" unbalanced="0"/>
    <cacheHierarchy uniqueName="[Hechos_Ventas 1].[ClienteID]" caption="ClienteID" attribute="1" defaultMemberUniqueName="[Hechos_Ventas 1].[ClienteID].[All]" allUniqueName="[Hechos_Ventas 1].[ClienteID].[All]" dimensionUniqueName="[Hechos_Ventas 1]" displayFolder="" count="0" memberValueDatatype="20" unbalanced="0"/>
    <cacheHierarchy uniqueName="[Hechos_Ventas 1].[Cliente]" caption="Cliente" attribute="1" defaultMemberUniqueName="[Hechos_Ventas 1].[Cliente].[All]" allUniqueName="[Hechos_Ventas 1].[Cliente].[All]" dimensionUniqueName="[Hechos_Ventas 1]" displayFolder="" count="0" memberValueDatatype="130" unbalanced="0"/>
    <cacheHierarchy uniqueName="[Hechos_Ventas 1].[Ciudad]" caption="Ciudad" attribute="1" defaultMemberUniqueName="[Hechos_Ventas 1].[Ciudad].[All]" allUniqueName="[Hechos_Ventas 1].[Ciudad].[All]" dimensionUniqueName="[Hechos_Ventas 1]" displayFolder="" count="0" memberValueDatatype="130" unbalanced="0"/>
    <cacheHierarchy uniqueName="[Hechos_Ventas 1].[ProductoID]" caption="ProductoID" attribute="1" defaultMemberUniqueName="[Hechos_Ventas 1].[ProductoID].[All]" allUniqueName="[Hechos_Ventas 1].[ProductoID].[All]" dimensionUniqueName="[Hechos_Ventas 1]" displayFolder="" count="0" memberValueDatatype="20" unbalanced="0"/>
    <cacheHierarchy uniqueName="[Hechos_Ventas 1].[Producto]" caption="Producto" attribute="1" defaultMemberUniqueName="[Hechos_Ventas 1].[Producto].[All]" allUniqueName="[Hechos_Ventas 1].[Producto].[All]" dimensionUniqueName="[Hechos_Ventas 1]" displayFolder="" count="0" memberValueDatatype="130" unbalanced="0"/>
    <cacheHierarchy uniqueName="[Hechos_Ventas 1].[Categoria]" caption="Categoria" attribute="1" defaultMemberUniqueName="[Hechos_Ventas 1].[Categoria].[All]" allUniqueName="[Hechos_Ventas 1].[Categoria].[All]" dimensionUniqueName="[Hechos_Ventas 1]" displayFolder="" count="0" memberValueDatatype="130" unbalanced="0"/>
    <cacheHierarchy uniqueName="[Hechos_Ventas 1].[Cantidad]" caption="Cantidad" attribute="1" defaultMemberUniqueName="[Hechos_Ventas 1].[Cantidad].[All]" allUniqueName="[Hechos_Ventas 1].[Cantidad].[All]" dimensionUniqueName="[Hechos_Ventas 1]" displayFolder="" count="0" memberValueDatatype="20" unbalanced="0"/>
    <cacheHierarchy uniqueName="[Hechos_Ventas 1].[PrecioUnitario]" caption="PrecioUnitario" attribute="1" defaultMemberUniqueName="[Hechos_Ventas 1].[PrecioUnitario].[All]" allUniqueName="[Hechos_Ventas 1].[PrecioUnitario].[All]" dimensionUniqueName="[Hechos_Ventas 1]" displayFolder="" count="0" memberValueDatatype="20" unbalanced="0"/>
    <cacheHierarchy uniqueName="[Hechos_Ventas 1].[CostoUnitario]" caption="CostoUnitario" attribute="1" defaultMemberUniqueName="[Hechos_Ventas 1].[CostoUnitario].[All]" allUniqueName="[Hechos_Ventas 1].[CostoUnitario].[All]" dimensionUniqueName="[Hechos_Ventas 1]" displayFolder="" count="0" memberValueDatatype="20" unbalanced="0"/>
    <cacheHierarchy uniqueName="[Hechos_Ventas 1].[VentaNeta]" caption="VentaNeta" attribute="1" defaultMemberUniqueName="[Hechos_Ventas 1].[VentaNeta].[All]" allUniqueName="[Hechos_Ventas 1].[VentaNeta].[All]" dimensionUniqueName="[Hechos_Ventas 1]" displayFolder="" count="0" memberValueDatatype="20" unbalanced="0"/>
    <cacheHierarchy uniqueName="[Hechos_Ventas 1].[Margen]" caption="Margen" attribute="1" defaultMemberUniqueName="[Hechos_Ventas 1].[Margen].[All]" allUniqueName="[Hechos_Ventas 1].[Margen].[All]" dimensionUniqueName="[Hechos_Ventas 1]" displayFolder="" count="0" memberValueDatatype="20" unbalanced="0"/>
    <cacheHierarchy uniqueName="[Measures].[Total Ventas]" caption="Total Ventas" measure="1" displayFolder="" measureGroup="Hechos_Ventas" count="0"/>
    <cacheHierarchy uniqueName="[Measures].[Margen Neto]" caption="Margen Neto" measure="1" displayFolder="" measureGroup="Hechos_Ventas" count="0"/>
    <cacheHierarchy uniqueName="[Measures].[Unidades Vendidas]" caption="Unidades Vendidas" measure="1" displayFolder="" measureGroup="Hechos_Ventas" count="0"/>
    <cacheHierarchy uniqueName="[Measures].[__XL_Count Dim_Clientes]" caption="__XL_Count Dim_Clientes" measure="1" displayFolder="" measureGroup="Dim_Clientes" count="0" hidden="1"/>
    <cacheHierarchy uniqueName="[Measures].[__XL_Count Dim_Productos]" caption="__XL_Count Dim_Productos" measure="1" displayFolder="" measureGroup="Dim_Productos" count="0" hidden="1"/>
    <cacheHierarchy uniqueName="[Measures].[__XL_Count Dim_Calendario]" caption="__XL_Count Dim_Calendario" measure="1" displayFolder="" measureGroup="Dim_Calendario" count="0" hidden="1"/>
    <cacheHierarchy uniqueName="[Measures].[__XL_Count Hechos_Ventas]" caption="__XL_Count Hechos_Ventas" measure="1" displayFolder="" measureGroup="Hechos_Ventas" count="0" hidden="1"/>
    <cacheHierarchy uniqueName="[Measures].[__XL_Count Hechos_Ventas 1]" caption="__XL_Count Hechos_Ventas 1" measure="1" displayFolder="" measureGroup="Hechos_Ventas 1"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24744277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2177770-EB73-4957-BD17-306B3E290F65}" name="TablaDinámica4" cacheId="257" applyNumberFormats="0" applyBorderFormats="0" applyFontFormats="0" applyPatternFormats="0" applyAlignmentFormats="0" applyWidthHeightFormats="1" dataCaption="Valores" tag="f8fe3af7-6a21-4357-9e28-166c550197cd" updatedVersion="8" minRefreshableVersion="3" useAutoFormatting="1" itemPrintTitles="1" createdVersion="8" indent="0" outline="1" outlineData="1" multipleFieldFilters="0" chartFormat="5">
  <location ref="G3:H10" firstHeaderRow="1" firstDataRow="1" firstDataCol="1"/>
  <pivotFields count="3">
    <pivotField axis="axisRow" allDrilled="1" subtotalTop="0" showAll="0" dataSourceSort="1" defaultSubtotal="0" defaultAttributeDrillState="1">
      <items count="6">
        <item x="0"/>
        <item x="1"/>
        <item x="2"/>
        <item x="3"/>
        <item x="4"/>
        <item x="5"/>
      </items>
    </pivotField>
    <pivotField dataField="1" subtotalTop="0" showAll="0" defaultSubtotal="0"/>
    <pivotField allDrilled="1" subtotalTop="0" showAll="0" dataSourceSort="1" defaultSubtotal="0" defaultAttributeDrillState="1"/>
  </pivotFields>
  <rowFields count="1">
    <field x="0"/>
  </rowFields>
  <rowItems count="7">
    <i>
      <x/>
    </i>
    <i>
      <x v="1"/>
    </i>
    <i>
      <x v="2"/>
    </i>
    <i>
      <x v="3"/>
    </i>
    <i>
      <x v="4"/>
    </i>
    <i>
      <x v="5"/>
    </i>
    <i t="grand">
      <x/>
    </i>
  </rowItems>
  <colItems count="1">
    <i/>
  </colItems>
  <dataFields count="1">
    <dataField fld="1"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46">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Productos]"/>
        <x15:activeTabTopLevelEntity name="[Hechos_Venta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3D8B2CC-D784-451C-A411-855F3145D60F}" name="TablaDinámica3" cacheId="248" applyNumberFormats="0" applyBorderFormats="0" applyFontFormats="0" applyPatternFormats="0" applyAlignmentFormats="0" applyWidthHeightFormats="1" dataCaption="Valores" tag="f14a6681-c98d-48b6-8430-31fea902a38f" updatedVersion="8" minRefreshableVersion="3" useAutoFormatting="1" itemPrintTitles="1" createdVersion="8" indent="0" outline="1" outlineData="1" multipleFieldFilters="0" chartFormat="7">
  <location ref="D3:E7"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fld="1"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46">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Productos]"/>
        <x15:activeTabTopLevelEntity name="[Hechos_Venta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1F2B5C0-0FED-4CFC-86E2-8CFBB8C44FD6}" name="TablaDinámica2" cacheId="254" applyNumberFormats="0" applyBorderFormats="0" applyFontFormats="0" applyPatternFormats="0" applyAlignmentFormats="0" applyWidthHeightFormats="1" dataCaption="Valores" tag="5135d167-9ec4-4a7a-bcd2-b3ad1e6be6ef" updatedVersion="8" minRefreshableVersion="3" useAutoFormatting="1" itemPrintTitles="1" createdVersion="8" indent="0" outline="1" outlineData="1" multipleFieldFilters="0" chartFormat="12">
  <location ref="A3:B10" firstHeaderRow="1" firstDataRow="1" firstDataCol="1"/>
  <pivotFields count="2">
    <pivotField axis="axisRow" allDrilled="1" subtotalTop="0" showAll="0" dataSourceSort="1" defaultSubtotal="0" defaultAttributeDrillState="1">
      <items count="6">
        <item x="0"/>
        <item x="1"/>
        <item x="2"/>
        <item x="3"/>
        <item x="4"/>
        <item x="5"/>
      </items>
    </pivotField>
    <pivotField dataField="1" subtotalTop="0" showAll="0" defaultSubtotal="0"/>
  </pivotFields>
  <rowFields count="1">
    <field x="0"/>
  </rowFields>
  <rowItems count="7">
    <i>
      <x/>
    </i>
    <i>
      <x v="1"/>
    </i>
    <i>
      <x v="2"/>
    </i>
    <i>
      <x v="3"/>
    </i>
    <i>
      <x v="4"/>
    </i>
    <i>
      <x v="5"/>
    </i>
    <i t="grand">
      <x/>
    </i>
  </rowItems>
  <colItems count="1">
    <i/>
  </colItems>
  <dataFields count="1">
    <dataField fld="1"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46">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alendario]"/>
        <x15:activeTabTopLevelEntity name="[Hechos_Venta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3F21C4E-9DFC-4299-BCC2-0D887D664AA3}" name="TablaDinámica1" cacheId="251" applyNumberFormats="0" applyBorderFormats="0" applyFontFormats="0" applyPatternFormats="0" applyAlignmentFormats="0" applyWidthHeightFormats="1" dataCaption="Valores" tag="ee164f3d-5a8c-417c-b0f8-86ab5b17858d" updatedVersion="8" minRefreshableVersion="3" useAutoFormatting="1" itemPrintTitles="1" createdVersion="5" indent="0" outline="1" outlineData="1" multipleFieldFilters="0">
  <location ref="B3:D20" firstHeaderRow="1" firstDataRow="1" firstDataCol="0"/>
  <pivotFields count="1">
    <pivotField allDrilled="1" subtotalTop="0" showAll="0" dataSourceSort="1" defaultSubtotal="0" defaultAttributeDrillState="1"/>
  </pivotFields>
  <pivotHierarchies count="46">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tosExternos_1" backgroundRefresh="0" connectionId="5" xr16:uid="{5AC5BC5F-10C7-4C6E-858E-2E3076E43711}" autoFormatId="16" applyNumberFormats="0" applyBorderFormats="0" applyFontFormats="0" applyPatternFormats="0" applyAlignmentFormats="0" applyWidthHeightFormats="0">
  <queryTableRefresh nextId="14">
    <queryTableFields count="13">
      <queryTableField id="1" name="VentaID" tableColumnId="1"/>
      <queryTableField id="2" name="Fecha" tableColumnId="2"/>
      <queryTableField id="3" name="ClienteID" tableColumnId="3"/>
      <queryTableField id="4" name="Cliente" tableColumnId="4"/>
      <queryTableField id="5" name="Ciudad" tableColumnId="5"/>
      <queryTableField id="6" name="ProductoID" tableColumnId="6"/>
      <queryTableField id="7" name="Producto" tableColumnId="7"/>
      <queryTableField id="8" name="Categoria" tableColumnId="8"/>
      <queryTableField id="9" name="Cantidad" tableColumnId="9"/>
      <queryTableField id="10" name="PrecioUnitario" tableColumnId="10"/>
      <queryTableField id="11" name="CostoUnitario" tableColumnId="11"/>
      <queryTableField id="12" name="VentaNeta" tableColumnId="12"/>
      <queryTableField id="13" name="Margen" tableColumnId="13"/>
    </queryTableFields>
  </queryTableRefresh>
  <extLst>
    <ext xmlns:x15="http://schemas.microsoft.com/office/spreadsheetml/2010/11/main" uri="{883FBD77-0823-4a55-B5E3-86C4891E6966}">
      <x15:queryTable sourceDataName="Consulta - Hechos_Venta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Categoria" xr10:uid="{4A2DCA31-C1CA-4BCA-B932-448AD350AD82}" sourceName="[Dim_Productos].[Categoria]">
  <pivotTables>
    <pivotTable tabId="13" name="TablaDinámica2"/>
    <pivotTable tabId="8" name="TablaDinámica1"/>
    <pivotTable tabId="13" name="TablaDinámica3"/>
    <pivotTable tabId="13" name="TablaDinámica4"/>
  </pivotTables>
  <data>
    <olap pivotCacheId="247442776">
      <levels count="2">
        <level uniqueName="[Dim_Productos].[Categoria].[(All)]" sourceCaption="(All)" count="0"/>
        <level uniqueName="[Dim_Productos].[Categoria].[Categoria]" sourceCaption="Categoria" count="3">
          <ranges>
            <range startItem="0">
              <i n="[Dim_Productos].[Categoria].&amp;[Accesorios]" c="Accesorios"/>
              <i n="[Dim_Productos].[Categoria].&amp;[Mobiliario]" c="Mobiliario"/>
              <i n="[Dim_Productos].[Categoria].&amp;[Tecnologia]" c="Tecnologia"/>
            </range>
          </ranges>
        </level>
      </levels>
      <selections count="1">
        <selection n="[Dim_Productos].[Categoria].[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Mes" xr10:uid="{69F6E4C5-CCEA-4376-8086-E31781937D6F}" sourceName="[Dim_Calendario].[Mes]">
  <pivotTables>
    <pivotTable tabId="13" name="TablaDinámica3"/>
    <pivotTable tabId="8" name="TablaDinámica1"/>
    <pivotTable tabId="13" name="TablaDinámica2"/>
    <pivotTable tabId="13" name="TablaDinámica4"/>
  </pivotTables>
  <data>
    <olap pivotCacheId="247442776">
      <levels count="2">
        <level uniqueName="[Dim_Calendario].[Mes].[(All)]" sourceCaption="(All)" count="0"/>
        <level uniqueName="[Dim_Calendario].[Mes].[Mes]" sourceCaption="Mes" count="6" sortOrder="ascending">
          <ranges>
            <range startItem="0">
              <i n="[Dim_Calendario].[Mes].&amp;[abril]" c="abril"/>
              <i n="[Dim_Calendario].[Mes].&amp;[enero]" c="enero"/>
              <i n="[Dim_Calendario].[Mes].&amp;[febrero]" c="febrero"/>
              <i n="[Dim_Calendario].[Mes].&amp;[junio]" c="junio"/>
              <i n="[Dim_Calendario].[Mes].&amp;[marzo]" c="marzo"/>
              <i n="[Dim_Calendario].[Mes].&amp;[mayo]" c="mayo"/>
            </range>
          </ranges>
        </level>
      </levels>
      <selections count="1">
        <selection n="[Dim_Calendario].[Mes].[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ia" xr10:uid="{37DB8381-B406-41DD-A6FE-5FF4519CB630}" cache="SegmentaciónDeDatos_Categoria" caption="Categoria" level="1" rowHeight="247650"/>
  <slicer name="Mes" xr10:uid="{5529F159-C4E0-485A-BECA-8F7BB00178A3}" cache="SegmentaciónDeDatos_Mes" caption="Mes" level="1"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ia 1" xr10:uid="{10C2DAD7-C895-45D8-BCEE-74007C994898}" cache="SegmentaciónDeDatos_Categoria" caption="Categoria" level="1" rowHeight="247650"/>
  <slicer name="Mes 1" xr10:uid="{F2D9EBC9-EC02-46BF-AAE6-94DB63A762DF}" cache="SegmentaciónDeDatos_Mes" caption="Mes" level="1"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94F6372-58FA-4DE3-ACF1-6B9CEFD41CC0}" name="Hechos_Ventas" displayName="Hechos_Ventas" ref="A1:M535" tableType="queryTable" totalsRowShown="0">
  <autoFilter ref="A1:M535" xr:uid="{894F6372-58FA-4DE3-ACF1-6B9CEFD41CC0}"/>
  <tableColumns count="13">
    <tableColumn id="1" xr3:uid="{ADEBEF0F-276A-432A-9215-B03294AE4F77}" uniqueName="1" name="VentaID" queryTableFieldId="1"/>
    <tableColumn id="2" xr3:uid="{0FAA556C-0B74-4A36-9CB4-FA7DD69E20EF}" uniqueName="2" name="Fecha" queryTableFieldId="2" dataDxfId="3"/>
    <tableColumn id="3" xr3:uid="{10C6E6FD-E534-4486-8C42-F2BD8017FEA0}" uniqueName="3" name="ClienteID" queryTableFieldId="3"/>
    <tableColumn id="4" xr3:uid="{658EEF53-4E67-434C-83F3-0ADA85271BF7}" uniqueName="4" name="Cliente" queryTableFieldId="4" dataDxfId="6"/>
    <tableColumn id="5" xr3:uid="{F08D2DA5-FE67-4769-A98C-C4AFC6EE5712}" uniqueName="5" name="Ciudad" queryTableFieldId="5" dataDxfId="5"/>
    <tableColumn id="6" xr3:uid="{0DC10F94-7E1D-4AD5-9915-5B9F4364E138}" uniqueName="6" name="ProductoID" queryTableFieldId="6"/>
    <tableColumn id="7" xr3:uid="{E4FE4FA4-3E38-452A-8D7D-BD08D95C7583}" uniqueName="7" name="Producto" queryTableFieldId="7" dataDxfId="4"/>
    <tableColumn id="8" xr3:uid="{A2B87476-CF6F-4A7E-A783-A64781B02DF7}" uniqueName="8" name="Categoria" queryTableFieldId="8" dataDxfId="2"/>
    <tableColumn id="9" xr3:uid="{BC621CDA-31BE-470B-985C-FE2D4C0A3A86}" uniqueName="9" name="Cantidad" queryTableFieldId="9"/>
    <tableColumn id="10" xr3:uid="{D70501EE-8900-4762-B4C8-334A5F7E2011}" uniqueName="10" name="PrecioUnitario" queryTableFieldId="10"/>
    <tableColumn id="11" xr3:uid="{181B3D61-E6B9-4A42-8DA0-F7CD8043747A}" uniqueName="11" name="CostoUnitario" queryTableFieldId="11"/>
    <tableColumn id="12" xr3:uid="{60B9B93F-045A-40C7-BF9F-CDE956C33191}" uniqueName="12" name="VentaNeta" queryTableFieldId="12"/>
    <tableColumn id="13" xr3:uid="{6B20074B-A966-46A6-B05E-3D61CE97AC44}" uniqueName="13" name="Margen" queryTableFieldId="13"/>
  </tableColumns>
  <tableStyleInfo name="TableStyleMedium7"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EC1858-A2A8-4198-A125-777BB682FE94}">
  <dimension ref="A3:H10"/>
  <sheetViews>
    <sheetView workbookViewId="0">
      <selection activeCell="D4" sqref="D4"/>
    </sheetView>
  </sheetViews>
  <sheetFormatPr baseColWidth="10" defaultRowHeight="14.4" x14ac:dyDescent="0.3"/>
  <cols>
    <col min="1" max="1" width="16.5546875" bestFit="1" customWidth="1"/>
    <col min="2" max="2" width="11.109375" bestFit="1" customWidth="1"/>
    <col min="4" max="4" width="16.5546875" bestFit="1" customWidth="1"/>
    <col min="5" max="5" width="11.109375" bestFit="1" customWidth="1"/>
    <col min="7" max="7" width="16.5546875" bestFit="1" customWidth="1"/>
    <col min="8" max="8" width="11.33203125" bestFit="1" customWidth="1"/>
  </cols>
  <sheetData>
    <row r="3" spans="1:8" x14ac:dyDescent="0.3">
      <c r="A3" s="36" t="s">
        <v>78</v>
      </c>
      <c r="B3" t="s">
        <v>64</v>
      </c>
      <c r="D3" s="36" t="s">
        <v>78</v>
      </c>
      <c r="E3" t="s">
        <v>64</v>
      </c>
      <c r="G3" s="36" t="s">
        <v>78</v>
      </c>
      <c r="H3" t="s">
        <v>66</v>
      </c>
    </row>
    <row r="4" spans="1:8" x14ac:dyDescent="0.3">
      <c r="A4" s="37" t="s">
        <v>80</v>
      </c>
      <c r="B4" s="39">
        <v>777438000</v>
      </c>
      <c r="D4" s="37" t="s">
        <v>21</v>
      </c>
      <c r="E4" s="39">
        <v>380979000</v>
      </c>
      <c r="G4" s="37" t="s">
        <v>15</v>
      </c>
      <c r="H4" s="39">
        <v>256850000</v>
      </c>
    </row>
    <row r="5" spans="1:8" x14ac:dyDescent="0.3">
      <c r="A5" s="37" t="s">
        <v>81</v>
      </c>
      <c r="B5" s="39">
        <v>789744500</v>
      </c>
      <c r="D5" s="37" t="s">
        <v>16</v>
      </c>
      <c r="E5" s="39">
        <v>1456106000</v>
      </c>
      <c r="G5" s="37" t="s">
        <v>17</v>
      </c>
      <c r="H5" s="39">
        <v>406130000</v>
      </c>
    </row>
    <row r="6" spans="1:8" x14ac:dyDescent="0.3">
      <c r="A6" s="37" t="s">
        <v>82</v>
      </c>
      <c r="B6" s="39">
        <v>881921000</v>
      </c>
      <c r="D6" s="37" t="s">
        <v>18</v>
      </c>
      <c r="E6" s="39">
        <v>3120410000</v>
      </c>
      <c r="G6" s="37" t="s">
        <v>19</v>
      </c>
      <c r="H6" s="39">
        <v>150780000</v>
      </c>
    </row>
    <row r="7" spans="1:8" x14ac:dyDescent="0.3">
      <c r="A7" s="37" t="s">
        <v>83</v>
      </c>
      <c r="B7" s="39">
        <v>917476500</v>
      </c>
      <c r="D7" s="37" t="s">
        <v>79</v>
      </c>
      <c r="E7" s="39">
        <v>4957495000</v>
      </c>
      <c r="G7" s="37" t="s">
        <v>22</v>
      </c>
      <c r="H7" s="39">
        <v>39952000</v>
      </c>
    </row>
    <row r="8" spans="1:8" x14ac:dyDescent="0.3">
      <c r="A8" s="37" t="s">
        <v>84</v>
      </c>
      <c r="B8" s="39">
        <v>689315500</v>
      </c>
      <c r="G8" s="37" t="s">
        <v>23</v>
      </c>
      <c r="H8" s="39">
        <v>186756000</v>
      </c>
    </row>
    <row r="9" spans="1:8" x14ac:dyDescent="0.3">
      <c r="A9" s="37" t="s">
        <v>85</v>
      </c>
      <c r="B9" s="39">
        <v>901599500</v>
      </c>
      <c r="G9" s="37" t="s">
        <v>20</v>
      </c>
      <c r="H9" s="39">
        <v>87417000</v>
      </c>
    </row>
    <row r="10" spans="1:8" x14ac:dyDescent="0.3">
      <c r="A10" s="37" t="s">
        <v>79</v>
      </c>
      <c r="B10" s="39">
        <v>4957495000</v>
      </c>
      <c r="G10" s="37" t="s">
        <v>79</v>
      </c>
      <c r="H10" s="39">
        <v>1127885000</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A876C9-6AD6-43CA-8E5A-0FC5E71A5745}">
  <dimension ref="A1:N64"/>
  <sheetViews>
    <sheetView showGridLines="0" tabSelected="1" topLeftCell="A4" workbookViewId="0">
      <selection activeCell="E68" sqref="E68"/>
    </sheetView>
  </sheetViews>
  <sheetFormatPr baseColWidth="10" defaultRowHeight="14.4" x14ac:dyDescent="0.3"/>
  <cols>
    <col min="7" max="7" width="7.5546875" customWidth="1"/>
    <col min="8" max="8" width="7.6640625" customWidth="1"/>
  </cols>
  <sheetData>
    <row r="1" spans="1:13" ht="14.4" customHeight="1" x14ac:dyDescent="0.3">
      <c r="A1" s="44" t="s">
        <v>86</v>
      </c>
      <c r="B1" s="44"/>
      <c r="C1" s="44"/>
      <c r="D1" s="44"/>
      <c r="E1" s="44"/>
      <c r="F1" s="44"/>
      <c r="G1" s="44"/>
      <c r="H1" s="44"/>
      <c r="I1" s="44"/>
      <c r="J1" s="44"/>
      <c r="K1" s="44"/>
      <c r="L1" s="44"/>
      <c r="M1" s="44"/>
    </row>
    <row r="2" spans="1:13" ht="14.4" customHeight="1" x14ac:dyDescent="0.3">
      <c r="A2" s="44"/>
      <c r="B2" s="44"/>
      <c r="C2" s="44"/>
      <c r="D2" s="44"/>
      <c r="E2" s="44"/>
      <c r="F2" s="44"/>
      <c r="G2" s="44"/>
      <c r="H2" s="44"/>
      <c r="I2" s="44"/>
      <c r="J2" s="44"/>
      <c r="K2" s="44"/>
      <c r="L2" s="44"/>
      <c r="M2" s="44"/>
    </row>
    <row r="3" spans="1:13" x14ac:dyDescent="0.3">
      <c r="A3" s="43" t="s">
        <v>90</v>
      </c>
      <c r="B3" s="43"/>
      <c r="C3" s="43"/>
      <c r="D3" s="43"/>
      <c r="E3" s="43"/>
      <c r="F3" s="43"/>
      <c r="G3" s="43"/>
      <c r="H3" s="43"/>
      <c r="I3" s="43"/>
      <c r="J3" s="43"/>
      <c r="K3" s="43"/>
      <c r="L3" s="43"/>
      <c r="M3" s="43"/>
    </row>
    <row r="5" spans="1:13" ht="15" thickBot="1" x14ac:dyDescent="0.35">
      <c r="A5" s="52" t="s">
        <v>87</v>
      </c>
      <c r="B5" s="52"/>
      <c r="C5" s="52"/>
      <c r="D5" s="53"/>
      <c r="E5" s="53"/>
      <c r="F5" s="52" t="s">
        <v>88</v>
      </c>
      <c r="G5" s="52"/>
      <c r="H5" s="52"/>
      <c r="I5" s="53"/>
      <c r="J5" s="53"/>
      <c r="K5" s="52" t="s">
        <v>89</v>
      </c>
      <c r="L5" s="52"/>
      <c r="M5" s="52"/>
    </row>
    <row r="6" spans="1:13" ht="15" thickBot="1" x14ac:dyDescent="0.35">
      <c r="A6" s="45">
        <v>4957495000</v>
      </c>
      <c r="B6" s="46"/>
      <c r="C6" s="47"/>
      <c r="F6" s="48">
        <v>112788500</v>
      </c>
      <c r="G6" s="48"/>
      <c r="H6" s="48"/>
      <c r="I6" s="41"/>
      <c r="J6" s="41"/>
      <c r="K6" s="49">
        <v>1600</v>
      </c>
      <c r="L6" s="50"/>
      <c r="M6" s="51"/>
    </row>
    <row r="7" spans="1:13" x14ac:dyDescent="0.3">
      <c r="A7" s="54" t="s">
        <v>91</v>
      </c>
      <c r="B7" s="55"/>
    </row>
    <row r="42" spans="1:14" x14ac:dyDescent="0.3">
      <c r="A42" s="56" t="s">
        <v>92</v>
      </c>
      <c r="B42" s="40"/>
      <c r="C42" s="40"/>
      <c r="D42" s="40"/>
      <c r="E42" s="40"/>
      <c r="F42" s="40"/>
      <c r="G42" s="60"/>
      <c r="H42" s="59"/>
      <c r="I42" s="56" t="s">
        <v>96</v>
      </c>
      <c r="J42" s="40"/>
      <c r="K42" s="40"/>
      <c r="L42" s="40"/>
      <c r="M42" s="40"/>
    </row>
    <row r="43" spans="1:14" s="41" customFormat="1" ht="7.8" customHeight="1" thickBot="1" x14ac:dyDescent="0.35">
      <c r="F43" s="42"/>
      <c r="G43" s="61"/>
      <c r="H43" s="42"/>
    </row>
    <row r="44" spans="1:14" ht="15" thickBot="1" x14ac:dyDescent="0.35">
      <c r="A44" s="57" t="s">
        <v>93</v>
      </c>
      <c r="B44" s="57"/>
      <c r="C44" s="57"/>
      <c r="D44" s="57"/>
      <c r="E44" s="57"/>
      <c r="F44" s="57"/>
      <c r="G44" s="60"/>
      <c r="H44" s="59"/>
      <c r="I44" s="57" t="s">
        <v>97</v>
      </c>
      <c r="J44" s="57"/>
      <c r="K44" s="57"/>
      <c r="L44" s="57"/>
      <c r="M44" s="57"/>
      <c r="N44" s="57"/>
    </row>
    <row r="45" spans="1:14" ht="15" thickBot="1" x14ac:dyDescent="0.35">
      <c r="A45" s="57"/>
      <c r="B45" s="57"/>
      <c r="C45" s="57"/>
      <c r="D45" s="57"/>
      <c r="E45" s="57"/>
      <c r="F45" s="57"/>
      <c r="G45" s="60"/>
      <c r="H45" s="59"/>
      <c r="I45" s="57"/>
      <c r="J45" s="57"/>
      <c r="K45" s="57"/>
      <c r="L45" s="57"/>
      <c r="M45" s="57"/>
      <c r="N45" s="57"/>
    </row>
    <row r="46" spans="1:14" ht="15" thickBot="1" x14ac:dyDescent="0.35">
      <c r="A46" s="57"/>
      <c r="B46" s="57"/>
      <c r="C46" s="57"/>
      <c r="D46" s="57"/>
      <c r="E46" s="57"/>
      <c r="F46" s="57"/>
      <c r="G46" s="60"/>
      <c r="H46" s="62"/>
      <c r="I46" s="57"/>
      <c r="J46" s="57"/>
      <c r="K46" s="57"/>
      <c r="L46" s="57"/>
      <c r="M46" s="57"/>
      <c r="N46" s="57"/>
    </row>
    <row r="47" spans="1:14" ht="15" thickBot="1" x14ac:dyDescent="0.35">
      <c r="A47" s="57"/>
      <c r="B47" s="57"/>
      <c r="C47" s="57"/>
      <c r="D47" s="57"/>
      <c r="E47" s="57"/>
      <c r="F47" s="57"/>
      <c r="G47" s="60"/>
      <c r="H47" s="59"/>
      <c r="I47" s="57"/>
      <c r="J47" s="57"/>
      <c r="K47" s="57"/>
      <c r="L47" s="57"/>
      <c r="M47" s="57"/>
      <c r="N47" s="57"/>
    </row>
    <row r="48" spans="1:14" ht="15" thickBot="1" x14ac:dyDescent="0.35">
      <c r="A48" s="57"/>
      <c r="B48" s="57"/>
      <c r="C48" s="57"/>
      <c r="D48" s="57"/>
      <c r="E48" s="57"/>
      <c r="F48" s="57"/>
      <c r="G48" s="60"/>
      <c r="H48" s="59"/>
      <c r="I48" s="57"/>
      <c r="J48" s="57"/>
      <c r="K48" s="57"/>
      <c r="L48" s="57"/>
      <c r="M48" s="57"/>
      <c r="N48" s="57"/>
    </row>
    <row r="49" spans="1:14" ht="15" thickBot="1" x14ac:dyDescent="0.35">
      <c r="A49" s="58"/>
      <c r="B49" s="58"/>
      <c r="C49" s="58"/>
      <c r="D49" s="58"/>
      <c r="E49" s="58"/>
      <c r="F49" s="58"/>
      <c r="G49" s="60"/>
      <c r="H49" s="59"/>
    </row>
    <row r="50" spans="1:14" ht="15" customHeight="1" thickBot="1" x14ac:dyDescent="0.35">
      <c r="A50" s="57" t="s">
        <v>94</v>
      </c>
      <c r="B50" s="57"/>
      <c r="C50" s="57"/>
      <c r="D50" s="57"/>
      <c r="E50" s="57"/>
      <c r="F50" s="57"/>
      <c r="G50" s="60"/>
      <c r="H50" s="59"/>
      <c r="I50" s="64" t="s">
        <v>98</v>
      </c>
      <c r="J50" s="65"/>
      <c r="K50" s="65"/>
      <c r="L50" s="65"/>
      <c r="M50" s="65"/>
      <c r="N50" s="66"/>
    </row>
    <row r="51" spans="1:14" ht="15.6" thickTop="1" thickBot="1" x14ac:dyDescent="0.35">
      <c r="A51" s="57"/>
      <c r="B51" s="57"/>
      <c r="C51" s="57"/>
      <c r="D51" s="57"/>
      <c r="E51" s="57"/>
      <c r="F51" s="57"/>
      <c r="G51" s="60"/>
      <c r="H51" s="59"/>
      <c r="I51" s="67"/>
      <c r="J51" s="63"/>
      <c r="K51" s="63"/>
      <c r="L51" s="63"/>
      <c r="M51" s="63"/>
      <c r="N51" s="68"/>
    </row>
    <row r="52" spans="1:14" ht="15.6" thickTop="1" thickBot="1" x14ac:dyDescent="0.35">
      <c r="A52" s="57"/>
      <c r="B52" s="57"/>
      <c r="C52" s="57"/>
      <c r="D52" s="57"/>
      <c r="E52" s="57"/>
      <c r="F52" s="57"/>
      <c r="G52" s="60"/>
      <c r="H52" s="59"/>
      <c r="I52" s="67"/>
      <c r="J52" s="63"/>
      <c r="K52" s="63"/>
      <c r="L52" s="63"/>
      <c r="M52" s="63"/>
      <c r="N52" s="68"/>
    </row>
    <row r="53" spans="1:14" ht="15.6" thickTop="1" thickBot="1" x14ac:dyDescent="0.35">
      <c r="A53" s="57"/>
      <c r="B53" s="57"/>
      <c r="C53" s="57"/>
      <c r="D53" s="57"/>
      <c r="E53" s="57"/>
      <c r="F53" s="57"/>
      <c r="G53" s="60"/>
      <c r="H53" s="59"/>
      <c r="I53" s="67"/>
      <c r="J53" s="63"/>
      <c r="K53" s="63"/>
      <c r="L53" s="63"/>
      <c r="M53" s="63"/>
      <c r="N53" s="68"/>
    </row>
    <row r="54" spans="1:14" ht="15.6" thickTop="1" thickBot="1" x14ac:dyDescent="0.35">
      <c r="A54" s="57"/>
      <c r="B54" s="57"/>
      <c r="C54" s="57"/>
      <c r="D54" s="57"/>
      <c r="E54" s="57"/>
      <c r="F54" s="57"/>
      <c r="G54" s="60"/>
      <c r="H54" s="59"/>
      <c r="I54" s="67"/>
      <c r="J54" s="63"/>
      <c r="K54" s="63"/>
      <c r="L54" s="63"/>
      <c r="M54" s="63"/>
      <c r="N54" s="68"/>
    </row>
    <row r="55" spans="1:14" ht="15.6" thickTop="1" thickBot="1" x14ac:dyDescent="0.35">
      <c r="A55" s="58"/>
      <c r="B55" s="58"/>
      <c r="C55" s="58"/>
      <c r="D55" s="58"/>
      <c r="E55" s="58"/>
      <c r="F55" s="58"/>
      <c r="G55" s="60"/>
      <c r="H55" s="59"/>
      <c r="I55" s="67"/>
      <c r="J55" s="63"/>
      <c r="K55" s="63"/>
      <c r="L55" s="63"/>
      <c r="M55" s="63"/>
      <c r="N55" s="68"/>
    </row>
    <row r="56" spans="1:14" ht="15.6" thickTop="1" thickBot="1" x14ac:dyDescent="0.35">
      <c r="A56" s="57" t="s">
        <v>95</v>
      </c>
      <c r="B56" s="57"/>
      <c r="C56" s="57"/>
      <c r="D56" s="57"/>
      <c r="E56" s="57"/>
      <c r="F56" s="57"/>
      <c r="G56" s="60"/>
      <c r="H56" s="59"/>
      <c r="I56" s="67"/>
      <c r="J56" s="63"/>
      <c r="K56" s="63"/>
      <c r="L56" s="63"/>
      <c r="M56" s="63"/>
      <c r="N56" s="68"/>
    </row>
    <row r="57" spans="1:14" ht="15.6" thickTop="1" thickBot="1" x14ac:dyDescent="0.35">
      <c r="A57" s="57"/>
      <c r="B57" s="57"/>
      <c r="C57" s="57"/>
      <c r="D57" s="57"/>
      <c r="E57" s="57"/>
      <c r="F57" s="57"/>
      <c r="G57" s="60"/>
      <c r="H57" s="59"/>
      <c r="I57" s="67"/>
      <c r="J57" s="63"/>
      <c r="K57" s="63"/>
      <c r="L57" s="63"/>
      <c r="M57" s="63"/>
      <c r="N57" s="68"/>
    </row>
    <row r="58" spans="1:14" ht="15.6" thickTop="1" thickBot="1" x14ac:dyDescent="0.35">
      <c r="A58" s="57"/>
      <c r="B58" s="57"/>
      <c r="C58" s="57"/>
      <c r="D58" s="57"/>
      <c r="E58" s="57"/>
      <c r="F58" s="57"/>
      <c r="G58" s="60"/>
      <c r="H58" s="59"/>
      <c r="I58" s="67"/>
      <c r="J58" s="63"/>
      <c r="K58" s="63"/>
      <c r="L58" s="63"/>
      <c r="M58" s="63"/>
      <c r="N58" s="68"/>
    </row>
    <row r="59" spans="1:14" ht="15.6" thickTop="1" thickBot="1" x14ac:dyDescent="0.35">
      <c r="A59" s="57"/>
      <c r="B59" s="57"/>
      <c r="C59" s="57"/>
      <c r="D59" s="57"/>
      <c r="E59" s="57"/>
      <c r="F59" s="57"/>
      <c r="G59" s="60"/>
      <c r="H59" s="59"/>
      <c r="I59" s="69"/>
      <c r="J59" s="70"/>
      <c r="K59" s="70"/>
      <c r="L59" s="70"/>
      <c r="M59" s="70"/>
      <c r="N59" s="71"/>
    </row>
    <row r="60" spans="1:14" ht="15" thickBot="1" x14ac:dyDescent="0.35">
      <c r="A60" s="57"/>
      <c r="B60" s="57"/>
      <c r="C60" s="57"/>
      <c r="D60" s="57"/>
      <c r="E60" s="57"/>
      <c r="F60" s="57"/>
      <c r="G60" s="60"/>
      <c r="H60" s="59"/>
    </row>
    <row r="61" spans="1:14" x14ac:dyDescent="0.3">
      <c r="A61" s="58"/>
      <c r="B61" s="58"/>
      <c r="C61" s="58"/>
      <c r="D61" s="58"/>
      <c r="E61" s="58"/>
      <c r="F61" s="58"/>
    </row>
    <row r="62" spans="1:14" x14ac:dyDescent="0.3">
      <c r="A62" s="72" t="s">
        <v>99</v>
      </c>
      <c r="B62" s="72"/>
      <c r="C62" s="72"/>
      <c r="D62" s="72"/>
      <c r="E62" s="72"/>
      <c r="F62" s="72"/>
      <c r="G62" s="72"/>
      <c r="H62" s="72"/>
      <c r="I62" s="72"/>
      <c r="J62" s="72"/>
      <c r="K62" s="72"/>
      <c r="L62" s="72"/>
      <c r="M62" s="72"/>
      <c r="N62" s="72"/>
    </row>
    <row r="63" spans="1:14" x14ac:dyDescent="0.3">
      <c r="A63" s="72"/>
      <c r="B63" s="72"/>
      <c r="C63" s="72"/>
      <c r="D63" s="72"/>
      <c r="E63" s="72"/>
      <c r="F63" s="72"/>
      <c r="G63" s="72"/>
      <c r="H63" s="72"/>
      <c r="I63" s="72"/>
      <c r="J63" s="72"/>
      <c r="K63" s="72"/>
      <c r="L63" s="72"/>
      <c r="M63" s="72"/>
      <c r="N63" s="72"/>
    </row>
    <row r="64" spans="1:14" x14ac:dyDescent="0.3">
      <c r="A64" s="72"/>
      <c r="B64" s="72"/>
      <c r="C64" s="72"/>
      <c r="D64" s="72"/>
      <c r="E64" s="72"/>
      <c r="F64" s="72"/>
      <c r="G64" s="72"/>
      <c r="H64" s="72"/>
      <c r="I64" s="72"/>
      <c r="J64" s="72"/>
      <c r="K64" s="72"/>
      <c r="L64" s="72"/>
      <c r="M64" s="72"/>
      <c r="N64" s="72"/>
    </row>
  </sheetData>
  <mergeCells count="14">
    <mergeCell ref="A62:N64"/>
    <mergeCell ref="F6:H6"/>
    <mergeCell ref="K6:M6"/>
    <mergeCell ref="I44:N48"/>
    <mergeCell ref="I50:N59"/>
    <mergeCell ref="A44:F48"/>
    <mergeCell ref="A50:F54"/>
    <mergeCell ref="A56:F60"/>
    <mergeCell ref="A1:M2"/>
    <mergeCell ref="A3:M3"/>
    <mergeCell ref="K5:M5"/>
    <mergeCell ref="F5:H5"/>
    <mergeCell ref="A6:C6"/>
    <mergeCell ref="A5:C5"/>
  </mergeCells>
  <conditionalFormatting sqref="A6">
    <cfRule type="cellIs" dxfId="1" priority="1" operator="lessThanOrEqual">
      <formula>4500000000</formula>
    </cfRule>
    <cfRule type="cellIs" dxfId="0" priority="2" operator="greaterThanOrEqual">
      <formula>4500000000</formula>
    </cfRule>
  </conditionalFormatting>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2C917D-295D-4689-A2EB-69B48C395BE6}">
  <dimension ref="A1:M535"/>
  <sheetViews>
    <sheetView workbookViewId="0">
      <selection activeCell="E16" sqref="E16"/>
    </sheetView>
  </sheetViews>
  <sheetFormatPr baseColWidth="10" defaultRowHeight="14.4" x14ac:dyDescent="0.3"/>
  <cols>
    <col min="1" max="1" width="9.77734375" bestFit="1" customWidth="1"/>
    <col min="2" max="2" width="10.33203125" bestFit="1" customWidth="1"/>
    <col min="3" max="3" width="11" bestFit="1" customWidth="1"/>
    <col min="4" max="4" width="15.33203125" bestFit="1" customWidth="1"/>
    <col min="5" max="5" width="10.6640625" bestFit="1" customWidth="1"/>
    <col min="6" max="6" width="12.5546875" bestFit="1" customWidth="1"/>
    <col min="7" max="7" width="16.33203125" bestFit="1" customWidth="1"/>
    <col min="8" max="8" width="11.21875" bestFit="1" customWidth="1"/>
    <col min="9" max="9" width="10.88671875" bestFit="1" customWidth="1"/>
    <col min="10" max="10" width="15.21875" bestFit="1" customWidth="1"/>
    <col min="11" max="11" width="14.6640625" bestFit="1" customWidth="1"/>
    <col min="12" max="12" width="12" bestFit="1" customWidth="1"/>
    <col min="13" max="13" width="9.21875" bestFit="1"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35</v>
      </c>
      <c r="B2" s="1">
        <v>46036</v>
      </c>
      <c r="C2">
        <v>101</v>
      </c>
      <c r="D2" t="s">
        <v>13</v>
      </c>
      <c r="E2" t="s">
        <v>14</v>
      </c>
      <c r="F2">
        <v>206</v>
      </c>
      <c r="G2" t="s">
        <v>15</v>
      </c>
      <c r="H2" s="39" t="s">
        <v>16</v>
      </c>
      <c r="I2">
        <v>2</v>
      </c>
      <c r="J2">
        <v>3220000</v>
      </c>
      <c r="K2">
        <v>2350000</v>
      </c>
      <c r="L2">
        <v>6440000</v>
      </c>
      <c r="M2">
        <v>1740000</v>
      </c>
    </row>
    <row r="3" spans="1:13" x14ac:dyDescent="0.3">
      <c r="A3">
        <v>40</v>
      </c>
      <c r="B3" s="1">
        <v>46037</v>
      </c>
      <c r="C3">
        <v>101</v>
      </c>
      <c r="D3" t="s">
        <v>13</v>
      </c>
      <c r="E3" t="s">
        <v>14</v>
      </c>
      <c r="F3">
        <v>201</v>
      </c>
      <c r="G3" t="s">
        <v>17</v>
      </c>
      <c r="H3" s="39" t="s">
        <v>18</v>
      </c>
      <c r="I3">
        <v>4</v>
      </c>
      <c r="J3">
        <v>8075000</v>
      </c>
      <c r="K3">
        <v>6800000</v>
      </c>
      <c r="L3">
        <v>32300000</v>
      </c>
      <c r="M3">
        <v>5100000</v>
      </c>
    </row>
    <row r="4" spans="1:13" x14ac:dyDescent="0.3">
      <c r="A4">
        <v>60</v>
      </c>
      <c r="B4" s="1">
        <v>46044</v>
      </c>
      <c r="C4">
        <v>101</v>
      </c>
      <c r="D4" t="s">
        <v>13</v>
      </c>
      <c r="E4" t="s">
        <v>14</v>
      </c>
      <c r="F4">
        <v>202</v>
      </c>
      <c r="G4" t="s">
        <v>19</v>
      </c>
      <c r="H4" s="39" t="s">
        <v>18</v>
      </c>
      <c r="I4">
        <v>3</v>
      </c>
      <c r="J4">
        <v>2576000</v>
      </c>
      <c r="K4">
        <v>2100000</v>
      </c>
      <c r="L4">
        <v>7728000</v>
      </c>
      <c r="M4">
        <v>1428000</v>
      </c>
    </row>
    <row r="5" spans="1:13" x14ac:dyDescent="0.3">
      <c r="A5">
        <v>65</v>
      </c>
      <c r="B5" s="1">
        <v>46045</v>
      </c>
      <c r="C5">
        <v>101</v>
      </c>
      <c r="D5" t="s">
        <v>13</v>
      </c>
      <c r="E5" t="s">
        <v>14</v>
      </c>
      <c r="F5">
        <v>201</v>
      </c>
      <c r="G5" t="s">
        <v>17</v>
      </c>
      <c r="H5" s="39" t="s">
        <v>18</v>
      </c>
      <c r="I5">
        <v>2</v>
      </c>
      <c r="J5">
        <v>8245000</v>
      </c>
      <c r="K5">
        <v>6800000</v>
      </c>
      <c r="L5">
        <v>16490000</v>
      </c>
      <c r="M5">
        <v>2890000</v>
      </c>
    </row>
    <row r="6" spans="1:13" x14ac:dyDescent="0.3">
      <c r="A6">
        <v>70</v>
      </c>
      <c r="B6" s="1">
        <v>46046</v>
      </c>
      <c r="C6">
        <v>101</v>
      </c>
      <c r="D6" t="s">
        <v>13</v>
      </c>
      <c r="E6" t="s">
        <v>14</v>
      </c>
      <c r="F6">
        <v>203</v>
      </c>
      <c r="G6" t="s">
        <v>20</v>
      </c>
      <c r="H6" s="39" t="s">
        <v>21</v>
      </c>
      <c r="I6">
        <v>5</v>
      </c>
      <c r="J6">
        <v>950000</v>
      </c>
      <c r="K6">
        <v>620000</v>
      </c>
      <c r="L6">
        <v>4750000</v>
      </c>
      <c r="M6">
        <v>1650000</v>
      </c>
    </row>
    <row r="7" spans="1:13" x14ac:dyDescent="0.3">
      <c r="A7">
        <v>73</v>
      </c>
      <c r="B7" s="1">
        <v>46047</v>
      </c>
      <c r="C7">
        <v>101</v>
      </c>
      <c r="D7" t="s">
        <v>13</v>
      </c>
      <c r="E7" t="s">
        <v>14</v>
      </c>
      <c r="F7">
        <v>202</v>
      </c>
      <c r="G7" t="s">
        <v>19</v>
      </c>
      <c r="H7" s="39" t="s">
        <v>18</v>
      </c>
      <c r="I7">
        <v>2</v>
      </c>
      <c r="J7">
        <v>2660000</v>
      </c>
      <c r="K7">
        <v>2100000</v>
      </c>
      <c r="L7">
        <v>5320000</v>
      </c>
      <c r="M7">
        <v>1120000</v>
      </c>
    </row>
    <row r="8" spans="1:13" x14ac:dyDescent="0.3">
      <c r="A8">
        <v>75</v>
      </c>
      <c r="B8" s="1">
        <v>46048</v>
      </c>
      <c r="C8">
        <v>101</v>
      </c>
      <c r="D8" t="s">
        <v>13</v>
      </c>
      <c r="E8" t="s">
        <v>14</v>
      </c>
      <c r="F8">
        <v>204</v>
      </c>
      <c r="G8" t="s">
        <v>22</v>
      </c>
      <c r="H8" s="39" t="s">
        <v>21</v>
      </c>
      <c r="I8">
        <v>5</v>
      </c>
      <c r="J8">
        <v>506000</v>
      </c>
      <c r="K8">
        <v>330000</v>
      </c>
      <c r="L8">
        <v>2530000</v>
      </c>
      <c r="M8">
        <v>880000</v>
      </c>
    </row>
    <row r="9" spans="1:13" x14ac:dyDescent="0.3">
      <c r="A9">
        <v>82</v>
      </c>
      <c r="B9" s="1">
        <v>46050</v>
      </c>
      <c r="C9">
        <v>101</v>
      </c>
      <c r="D9" t="s">
        <v>13</v>
      </c>
      <c r="E9" t="s">
        <v>14</v>
      </c>
      <c r="F9">
        <v>202</v>
      </c>
      <c r="G9" t="s">
        <v>19</v>
      </c>
      <c r="H9" s="39" t="s">
        <v>18</v>
      </c>
      <c r="I9">
        <v>3</v>
      </c>
      <c r="J9">
        <v>2576000</v>
      </c>
      <c r="K9">
        <v>2100000</v>
      </c>
      <c r="L9">
        <v>7728000</v>
      </c>
      <c r="M9">
        <v>1428000</v>
      </c>
    </row>
    <row r="10" spans="1:13" x14ac:dyDescent="0.3">
      <c r="A10">
        <v>85</v>
      </c>
      <c r="B10" s="1">
        <v>46051</v>
      </c>
      <c r="C10">
        <v>101</v>
      </c>
      <c r="D10" t="s">
        <v>13</v>
      </c>
      <c r="E10" t="s">
        <v>14</v>
      </c>
      <c r="F10">
        <v>204</v>
      </c>
      <c r="G10" t="s">
        <v>22</v>
      </c>
      <c r="H10" s="39" t="s">
        <v>21</v>
      </c>
      <c r="I10">
        <v>3</v>
      </c>
      <c r="J10">
        <v>533500</v>
      </c>
      <c r="K10">
        <v>330000</v>
      </c>
      <c r="L10">
        <v>1600500</v>
      </c>
      <c r="M10">
        <v>610500</v>
      </c>
    </row>
    <row r="11" spans="1:13" x14ac:dyDescent="0.3">
      <c r="A11">
        <v>86</v>
      </c>
      <c r="B11" s="1">
        <v>46051</v>
      </c>
      <c r="C11">
        <v>101</v>
      </c>
      <c r="D11" t="s">
        <v>13</v>
      </c>
      <c r="E11" t="s">
        <v>14</v>
      </c>
      <c r="F11">
        <v>205</v>
      </c>
      <c r="G11" t="s">
        <v>23</v>
      </c>
      <c r="H11" s="39" t="s">
        <v>16</v>
      </c>
      <c r="I11">
        <v>2</v>
      </c>
      <c r="J11">
        <v>2090000</v>
      </c>
      <c r="K11">
        <v>1450000</v>
      </c>
      <c r="L11">
        <v>4180000</v>
      </c>
      <c r="M11">
        <v>1280000</v>
      </c>
    </row>
    <row r="12" spans="1:13" x14ac:dyDescent="0.3">
      <c r="A12">
        <v>90</v>
      </c>
      <c r="B12" s="1">
        <v>46053</v>
      </c>
      <c r="C12">
        <v>101</v>
      </c>
      <c r="D12" t="s">
        <v>13</v>
      </c>
      <c r="E12" t="s">
        <v>14</v>
      </c>
      <c r="F12">
        <v>205</v>
      </c>
      <c r="G12" t="s">
        <v>23</v>
      </c>
      <c r="H12" s="39" t="s">
        <v>16</v>
      </c>
      <c r="I12">
        <v>5</v>
      </c>
      <c r="J12">
        <v>2200000</v>
      </c>
      <c r="K12">
        <v>1450000</v>
      </c>
      <c r="L12">
        <v>11000000</v>
      </c>
      <c r="M12">
        <v>3750000</v>
      </c>
    </row>
    <row r="13" spans="1:13" x14ac:dyDescent="0.3">
      <c r="A13">
        <v>102</v>
      </c>
      <c r="B13" s="1">
        <v>46057</v>
      </c>
      <c r="C13">
        <v>101</v>
      </c>
      <c r="D13" t="s">
        <v>13</v>
      </c>
      <c r="E13" t="s">
        <v>14</v>
      </c>
      <c r="F13">
        <v>203</v>
      </c>
      <c r="G13" t="s">
        <v>20</v>
      </c>
      <c r="H13" s="39" t="s">
        <v>21</v>
      </c>
      <c r="I13">
        <v>5</v>
      </c>
      <c r="J13">
        <v>921500</v>
      </c>
      <c r="K13">
        <v>620000</v>
      </c>
      <c r="L13">
        <v>4607500</v>
      </c>
      <c r="M13">
        <v>1507500</v>
      </c>
    </row>
    <row r="14" spans="1:13" x14ac:dyDescent="0.3">
      <c r="A14">
        <v>107</v>
      </c>
      <c r="B14" s="1">
        <v>46058</v>
      </c>
      <c r="C14">
        <v>101</v>
      </c>
      <c r="D14" t="s">
        <v>13</v>
      </c>
      <c r="E14" t="s">
        <v>14</v>
      </c>
      <c r="F14">
        <v>205</v>
      </c>
      <c r="G14" t="s">
        <v>23</v>
      </c>
      <c r="H14" s="39" t="s">
        <v>16</v>
      </c>
      <c r="I14">
        <v>1</v>
      </c>
      <c r="J14">
        <v>2090000</v>
      </c>
      <c r="K14">
        <v>1450000</v>
      </c>
      <c r="L14">
        <v>2090000</v>
      </c>
      <c r="M14">
        <v>640000</v>
      </c>
    </row>
    <row r="15" spans="1:13" x14ac:dyDescent="0.3">
      <c r="A15">
        <v>120</v>
      </c>
      <c r="B15" s="1">
        <v>46062</v>
      </c>
      <c r="C15">
        <v>101</v>
      </c>
      <c r="D15" t="s">
        <v>13</v>
      </c>
      <c r="E15" t="s">
        <v>14</v>
      </c>
      <c r="F15">
        <v>206</v>
      </c>
      <c r="G15" t="s">
        <v>15</v>
      </c>
      <c r="H15" s="39" t="s">
        <v>16</v>
      </c>
      <c r="I15">
        <v>1</v>
      </c>
      <c r="J15">
        <v>3395000</v>
      </c>
      <c r="K15">
        <v>2350000</v>
      </c>
      <c r="L15">
        <v>3395000</v>
      </c>
      <c r="M15">
        <v>1045000</v>
      </c>
    </row>
    <row r="16" spans="1:13" x14ac:dyDescent="0.3">
      <c r="A16">
        <v>125</v>
      </c>
      <c r="B16" s="1">
        <v>46064</v>
      </c>
      <c r="C16">
        <v>101</v>
      </c>
      <c r="D16" t="s">
        <v>13</v>
      </c>
      <c r="E16" t="s">
        <v>14</v>
      </c>
      <c r="F16">
        <v>204</v>
      </c>
      <c r="G16" t="s">
        <v>22</v>
      </c>
      <c r="H16" s="39" t="s">
        <v>21</v>
      </c>
      <c r="I16">
        <v>1</v>
      </c>
      <c r="J16">
        <v>522500</v>
      </c>
      <c r="K16">
        <v>330000</v>
      </c>
      <c r="L16">
        <v>522500</v>
      </c>
      <c r="M16">
        <v>192500</v>
      </c>
    </row>
    <row r="17" spans="1:13" x14ac:dyDescent="0.3">
      <c r="A17">
        <v>153</v>
      </c>
      <c r="B17" s="1">
        <v>46073</v>
      </c>
      <c r="C17">
        <v>101</v>
      </c>
      <c r="D17" t="s">
        <v>13</v>
      </c>
      <c r="E17" t="s">
        <v>14</v>
      </c>
      <c r="F17">
        <v>202</v>
      </c>
      <c r="G17" t="s">
        <v>19</v>
      </c>
      <c r="H17" s="39" t="s">
        <v>18</v>
      </c>
      <c r="I17">
        <v>1</v>
      </c>
      <c r="J17">
        <v>2660000</v>
      </c>
      <c r="K17">
        <v>2100000</v>
      </c>
      <c r="L17">
        <v>2660000</v>
      </c>
      <c r="M17">
        <v>560000</v>
      </c>
    </row>
    <row r="18" spans="1:13" x14ac:dyDescent="0.3">
      <c r="A18">
        <v>154</v>
      </c>
      <c r="B18" s="1">
        <v>46073</v>
      </c>
      <c r="C18">
        <v>101</v>
      </c>
      <c r="D18" t="s">
        <v>13</v>
      </c>
      <c r="E18" t="s">
        <v>14</v>
      </c>
      <c r="F18">
        <v>202</v>
      </c>
      <c r="G18" t="s">
        <v>19</v>
      </c>
      <c r="H18" s="39" t="s">
        <v>18</v>
      </c>
      <c r="I18">
        <v>3</v>
      </c>
      <c r="J18">
        <v>2660000</v>
      </c>
      <c r="K18">
        <v>2100000</v>
      </c>
      <c r="L18">
        <v>7980000</v>
      </c>
      <c r="M18">
        <v>1680000</v>
      </c>
    </row>
    <row r="19" spans="1:13" x14ac:dyDescent="0.3">
      <c r="A19">
        <v>175</v>
      </c>
      <c r="B19" s="1">
        <v>46079</v>
      </c>
      <c r="C19">
        <v>101</v>
      </c>
      <c r="D19" t="s">
        <v>13</v>
      </c>
      <c r="E19" t="s">
        <v>14</v>
      </c>
      <c r="F19">
        <v>206</v>
      </c>
      <c r="G19" t="s">
        <v>15</v>
      </c>
      <c r="H19" s="39" t="s">
        <v>16</v>
      </c>
      <c r="I19">
        <v>3</v>
      </c>
      <c r="J19">
        <v>3395000</v>
      </c>
      <c r="K19">
        <v>2350000</v>
      </c>
      <c r="L19">
        <v>10185000</v>
      </c>
      <c r="M19">
        <v>3135000</v>
      </c>
    </row>
    <row r="20" spans="1:13" x14ac:dyDescent="0.3">
      <c r="A20">
        <v>182</v>
      </c>
      <c r="B20" s="1">
        <v>46081</v>
      </c>
      <c r="C20">
        <v>101</v>
      </c>
      <c r="D20" t="s">
        <v>13</v>
      </c>
      <c r="E20" t="s">
        <v>14</v>
      </c>
      <c r="F20">
        <v>201</v>
      </c>
      <c r="G20" t="s">
        <v>17</v>
      </c>
      <c r="H20" s="39" t="s">
        <v>18</v>
      </c>
      <c r="I20">
        <v>3</v>
      </c>
      <c r="J20">
        <v>8075000</v>
      </c>
      <c r="K20">
        <v>6800000</v>
      </c>
      <c r="L20">
        <v>24225000</v>
      </c>
      <c r="M20">
        <v>3825000</v>
      </c>
    </row>
    <row r="21" spans="1:13" x14ac:dyDescent="0.3">
      <c r="A21">
        <v>183</v>
      </c>
      <c r="B21" s="1">
        <v>46081</v>
      </c>
      <c r="C21">
        <v>101</v>
      </c>
      <c r="D21" t="s">
        <v>13</v>
      </c>
      <c r="E21" t="s">
        <v>14</v>
      </c>
      <c r="F21">
        <v>205</v>
      </c>
      <c r="G21" t="s">
        <v>23</v>
      </c>
      <c r="H21" s="39" t="s">
        <v>16</v>
      </c>
      <c r="I21">
        <v>3</v>
      </c>
      <c r="J21">
        <v>2200000</v>
      </c>
      <c r="K21">
        <v>1450000</v>
      </c>
      <c r="L21">
        <v>6600000</v>
      </c>
      <c r="M21">
        <v>2250000</v>
      </c>
    </row>
    <row r="22" spans="1:13" x14ac:dyDescent="0.3">
      <c r="A22">
        <v>186</v>
      </c>
      <c r="B22" s="1">
        <v>46083</v>
      </c>
      <c r="C22">
        <v>101</v>
      </c>
      <c r="D22" t="s">
        <v>13</v>
      </c>
      <c r="E22" t="s">
        <v>14</v>
      </c>
      <c r="F22">
        <v>202</v>
      </c>
      <c r="G22" t="s">
        <v>19</v>
      </c>
      <c r="H22" s="39" t="s">
        <v>18</v>
      </c>
      <c r="I22">
        <v>3</v>
      </c>
      <c r="J22">
        <v>2576000</v>
      </c>
      <c r="K22">
        <v>2100000</v>
      </c>
      <c r="L22">
        <v>7728000</v>
      </c>
      <c r="M22">
        <v>1428000</v>
      </c>
    </row>
    <row r="23" spans="1:13" x14ac:dyDescent="0.3">
      <c r="A23">
        <v>190</v>
      </c>
      <c r="B23" s="1">
        <v>46084</v>
      </c>
      <c r="C23">
        <v>101</v>
      </c>
      <c r="D23" t="s">
        <v>13</v>
      </c>
      <c r="E23" t="s">
        <v>14</v>
      </c>
      <c r="F23">
        <v>204</v>
      </c>
      <c r="G23" t="s">
        <v>22</v>
      </c>
      <c r="H23" s="39" t="s">
        <v>21</v>
      </c>
      <c r="I23">
        <v>5</v>
      </c>
      <c r="J23">
        <v>550000</v>
      </c>
      <c r="K23">
        <v>330000</v>
      </c>
      <c r="L23">
        <v>2750000</v>
      </c>
      <c r="M23">
        <v>1100000</v>
      </c>
    </row>
    <row r="24" spans="1:13" x14ac:dyDescent="0.3">
      <c r="A24">
        <v>192</v>
      </c>
      <c r="B24" s="1">
        <v>46084</v>
      </c>
      <c r="C24">
        <v>101</v>
      </c>
      <c r="D24" t="s">
        <v>13</v>
      </c>
      <c r="E24" t="s">
        <v>14</v>
      </c>
      <c r="F24">
        <v>205</v>
      </c>
      <c r="G24" t="s">
        <v>23</v>
      </c>
      <c r="H24" s="39" t="s">
        <v>16</v>
      </c>
      <c r="I24">
        <v>5</v>
      </c>
      <c r="J24">
        <v>2024000</v>
      </c>
      <c r="K24">
        <v>1450000</v>
      </c>
      <c r="L24">
        <v>10120000</v>
      </c>
      <c r="M24">
        <v>2870000</v>
      </c>
    </row>
    <row r="25" spans="1:13" x14ac:dyDescent="0.3">
      <c r="A25">
        <v>196</v>
      </c>
      <c r="B25" s="1">
        <v>46086</v>
      </c>
      <c r="C25">
        <v>101</v>
      </c>
      <c r="D25" t="s">
        <v>13</v>
      </c>
      <c r="E25" t="s">
        <v>14</v>
      </c>
      <c r="F25">
        <v>201</v>
      </c>
      <c r="G25" t="s">
        <v>17</v>
      </c>
      <c r="H25" s="39" t="s">
        <v>18</v>
      </c>
      <c r="I25">
        <v>1</v>
      </c>
      <c r="J25">
        <v>8500000</v>
      </c>
      <c r="K25">
        <v>6800000</v>
      </c>
      <c r="L25">
        <v>8500000</v>
      </c>
      <c r="M25">
        <v>1700000</v>
      </c>
    </row>
    <row r="26" spans="1:13" x14ac:dyDescent="0.3">
      <c r="A26">
        <v>199</v>
      </c>
      <c r="B26" s="1">
        <v>46088</v>
      </c>
      <c r="C26">
        <v>101</v>
      </c>
      <c r="D26" t="s">
        <v>13</v>
      </c>
      <c r="E26" t="s">
        <v>14</v>
      </c>
      <c r="F26">
        <v>205</v>
      </c>
      <c r="G26" t="s">
        <v>23</v>
      </c>
      <c r="H26" s="39" t="s">
        <v>16</v>
      </c>
      <c r="I26">
        <v>5</v>
      </c>
      <c r="J26">
        <v>2024000</v>
      </c>
      <c r="K26">
        <v>1450000</v>
      </c>
      <c r="L26">
        <v>10120000</v>
      </c>
      <c r="M26">
        <v>2870000</v>
      </c>
    </row>
    <row r="27" spans="1:13" x14ac:dyDescent="0.3">
      <c r="A27">
        <v>209</v>
      </c>
      <c r="B27" s="1">
        <v>46091</v>
      </c>
      <c r="C27">
        <v>101</v>
      </c>
      <c r="D27" t="s">
        <v>13</v>
      </c>
      <c r="E27" t="s">
        <v>14</v>
      </c>
      <c r="F27">
        <v>201</v>
      </c>
      <c r="G27" t="s">
        <v>17</v>
      </c>
      <c r="H27" s="39" t="s">
        <v>18</v>
      </c>
      <c r="I27">
        <v>2</v>
      </c>
      <c r="J27">
        <v>7820000</v>
      </c>
      <c r="K27">
        <v>6800000</v>
      </c>
      <c r="L27">
        <v>15640000</v>
      </c>
      <c r="M27">
        <v>2040000</v>
      </c>
    </row>
    <row r="28" spans="1:13" x14ac:dyDescent="0.3">
      <c r="A28">
        <v>211</v>
      </c>
      <c r="B28" s="1">
        <v>46092</v>
      </c>
      <c r="C28">
        <v>101</v>
      </c>
      <c r="D28" t="s">
        <v>13</v>
      </c>
      <c r="E28" t="s">
        <v>14</v>
      </c>
      <c r="F28">
        <v>205</v>
      </c>
      <c r="G28" t="s">
        <v>23</v>
      </c>
      <c r="H28" s="39" t="s">
        <v>16</v>
      </c>
      <c r="I28">
        <v>1</v>
      </c>
      <c r="J28">
        <v>2134000</v>
      </c>
      <c r="K28">
        <v>1450000</v>
      </c>
      <c r="L28">
        <v>2134000</v>
      </c>
      <c r="M28">
        <v>684000</v>
      </c>
    </row>
    <row r="29" spans="1:13" x14ac:dyDescent="0.3">
      <c r="A29">
        <v>236</v>
      </c>
      <c r="B29" s="1">
        <v>46101</v>
      </c>
      <c r="C29">
        <v>101</v>
      </c>
      <c r="D29" t="s">
        <v>13</v>
      </c>
      <c r="E29" t="s">
        <v>14</v>
      </c>
      <c r="F29">
        <v>201</v>
      </c>
      <c r="G29" t="s">
        <v>17</v>
      </c>
      <c r="H29" s="39" t="s">
        <v>18</v>
      </c>
      <c r="I29">
        <v>1</v>
      </c>
      <c r="J29">
        <v>8500000</v>
      </c>
      <c r="K29">
        <v>6800000</v>
      </c>
      <c r="L29">
        <v>8500000</v>
      </c>
      <c r="M29">
        <v>1700000</v>
      </c>
    </row>
    <row r="30" spans="1:13" x14ac:dyDescent="0.3">
      <c r="A30">
        <v>257</v>
      </c>
      <c r="B30" s="1">
        <v>46108</v>
      </c>
      <c r="C30">
        <v>101</v>
      </c>
      <c r="D30" t="s">
        <v>13</v>
      </c>
      <c r="E30" t="s">
        <v>14</v>
      </c>
      <c r="F30">
        <v>204</v>
      </c>
      <c r="G30" t="s">
        <v>22</v>
      </c>
      <c r="H30" s="39" t="s">
        <v>21</v>
      </c>
      <c r="I30">
        <v>2</v>
      </c>
      <c r="J30">
        <v>550000</v>
      </c>
      <c r="K30">
        <v>330000</v>
      </c>
      <c r="L30">
        <v>1100000</v>
      </c>
      <c r="M30">
        <v>440000</v>
      </c>
    </row>
    <row r="31" spans="1:13" x14ac:dyDescent="0.3">
      <c r="A31">
        <v>270</v>
      </c>
      <c r="B31" s="1">
        <v>46113</v>
      </c>
      <c r="C31">
        <v>101</v>
      </c>
      <c r="D31" t="s">
        <v>13</v>
      </c>
      <c r="E31" t="s">
        <v>14</v>
      </c>
      <c r="F31">
        <v>203</v>
      </c>
      <c r="G31" t="s">
        <v>20</v>
      </c>
      <c r="H31" s="39" t="s">
        <v>21</v>
      </c>
      <c r="I31">
        <v>5</v>
      </c>
      <c r="J31">
        <v>874000</v>
      </c>
      <c r="K31">
        <v>620000</v>
      </c>
      <c r="L31">
        <v>4370000</v>
      </c>
      <c r="M31">
        <v>1270000</v>
      </c>
    </row>
    <row r="32" spans="1:13" x14ac:dyDescent="0.3">
      <c r="A32">
        <v>273</v>
      </c>
      <c r="B32" s="1">
        <v>46114</v>
      </c>
      <c r="C32">
        <v>101</v>
      </c>
      <c r="D32" t="s">
        <v>13</v>
      </c>
      <c r="E32" t="s">
        <v>14</v>
      </c>
      <c r="F32">
        <v>204</v>
      </c>
      <c r="G32" t="s">
        <v>22</v>
      </c>
      <c r="H32" s="39" t="s">
        <v>21</v>
      </c>
      <c r="I32">
        <v>5</v>
      </c>
      <c r="J32">
        <v>522500</v>
      </c>
      <c r="K32">
        <v>330000</v>
      </c>
      <c r="L32">
        <v>2612500</v>
      </c>
      <c r="M32">
        <v>962500</v>
      </c>
    </row>
    <row r="33" spans="1:13" x14ac:dyDescent="0.3">
      <c r="A33">
        <v>281</v>
      </c>
      <c r="B33" s="1">
        <v>46117</v>
      </c>
      <c r="C33">
        <v>101</v>
      </c>
      <c r="D33" t="s">
        <v>13</v>
      </c>
      <c r="E33" t="s">
        <v>14</v>
      </c>
      <c r="F33">
        <v>201</v>
      </c>
      <c r="G33" t="s">
        <v>17</v>
      </c>
      <c r="H33" s="39" t="s">
        <v>18</v>
      </c>
      <c r="I33">
        <v>3</v>
      </c>
      <c r="J33">
        <v>8075000</v>
      </c>
      <c r="K33">
        <v>6800000</v>
      </c>
      <c r="L33">
        <v>24225000</v>
      </c>
      <c r="M33">
        <v>3825000</v>
      </c>
    </row>
    <row r="34" spans="1:13" x14ac:dyDescent="0.3">
      <c r="A34">
        <v>284</v>
      </c>
      <c r="B34" s="1">
        <v>46117</v>
      </c>
      <c r="C34">
        <v>101</v>
      </c>
      <c r="D34" t="s">
        <v>13</v>
      </c>
      <c r="E34" t="s">
        <v>14</v>
      </c>
      <c r="F34">
        <v>206</v>
      </c>
      <c r="G34" t="s">
        <v>15</v>
      </c>
      <c r="H34" s="39" t="s">
        <v>16</v>
      </c>
      <c r="I34">
        <v>1</v>
      </c>
      <c r="J34">
        <v>3395000</v>
      </c>
      <c r="K34">
        <v>2350000</v>
      </c>
      <c r="L34">
        <v>3395000</v>
      </c>
      <c r="M34">
        <v>1045000</v>
      </c>
    </row>
    <row r="35" spans="1:13" x14ac:dyDescent="0.3">
      <c r="A35">
        <v>287</v>
      </c>
      <c r="B35" s="1">
        <v>46118</v>
      </c>
      <c r="C35">
        <v>101</v>
      </c>
      <c r="D35" t="s">
        <v>13</v>
      </c>
      <c r="E35" t="s">
        <v>14</v>
      </c>
      <c r="F35">
        <v>204</v>
      </c>
      <c r="G35" t="s">
        <v>22</v>
      </c>
      <c r="H35" s="39" t="s">
        <v>21</v>
      </c>
      <c r="I35">
        <v>4</v>
      </c>
      <c r="J35">
        <v>506000</v>
      </c>
      <c r="K35">
        <v>330000</v>
      </c>
      <c r="L35">
        <v>2024000</v>
      </c>
      <c r="M35">
        <v>704000</v>
      </c>
    </row>
    <row r="36" spans="1:13" x14ac:dyDescent="0.3">
      <c r="A36">
        <v>290</v>
      </c>
      <c r="B36" s="1">
        <v>46119</v>
      </c>
      <c r="C36">
        <v>101</v>
      </c>
      <c r="D36" t="s">
        <v>13</v>
      </c>
      <c r="E36" t="s">
        <v>14</v>
      </c>
      <c r="F36">
        <v>205</v>
      </c>
      <c r="G36" t="s">
        <v>23</v>
      </c>
      <c r="H36" s="39" t="s">
        <v>16</v>
      </c>
      <c r="I36">
        <v>4</v>
      </c>
      <c r="J36">
        <v>2200000</v>
      </c>
      <c r="K36">
        <v>1450000</v>
      </c>
      <c r="L36">
        <v>8800000</v>
      </c>
      <c r="M36">
        <v>3000000</v>
      </c>
    </row>
    <row r="37" spans="1:13" x14ac:dyDescent="0.3">
      <c r="A37">
        <v>293</v>
      </c>
      <c r="B37" s="1">
        <v>46120</v>
      </c>
      <c r="C37">
        <v>101</v>
      </c>
      <c r="D37" t="s">
        <v>13</v>
      </c>
      <c r="E37" t="s">
        <v>14</v>
      </c>
      <c r="F37">
        <v>201</v>
      </c>
      <c r="G37" t="s">
        <v>17</v>
      </c>
      <c r="H37" s="39" t="s">
        <v>18</v>
      </c>
      <c r="I37">
        <v>2</v>
      </c>
      <c r="J37">
        <v>7820000</v>
      </c>
      <c r="K37">
        <v>6800000</v>
      </c>
      <c r="L37">
        <v>15640000</v>
      </c>
      <c r="M37">
        <v>2040000</v>
      </c>
    </row>
    <row r="38" spans="1:13" x14ac:dyDescent="0.3">
      <c r="A38">
        <v>298</v>
      </c>
      <c r="B38" s="1">
        <v>46123</v>
      </c>
      <c r="C38">
        <v>101</v>
      </c>
      <c r="D38" t="s">
        <v>13</v>
      </c>
      <c r="E38" t="s">
        <v>14</v>
      </c>
      <c r="F38">
        <v>204</v>
      </c>
      <c r="G38" t="s">
        <v>22</v>
      </c>
      <c r="H38" s="39" t="s">
        <v>21</v>
      </c>
      <c r="I38">
        <v>2</v>
      </c>
      <c r="J38">
        <v>506000</v>
      </c>
      <c r="K38">
        <v>330000</v>
      </c>
      <c r="L38">
        <v>1012000</v>
      </c>
      <c r="M38">
        <v>352000</v>
      </c>
    </row>
    <row r="39" spans="1:13" x14ac:dyDescent="0.3">
      <c r="A39">
        <v>307</v>
      </c>
      <c r="B39" s="1">
        <v>46126</v>
      </c>
      <c r="C39">
        <v>101</v>
      </c>
      <c r="D39" t="s">
        <v>13</v>
      </c>
      <c r="E39" t="s">
        <v>14</v>
      </c>
      <c r="F39">
        <v>205</v>
      </c>
      <c r="G39" t="s">
        <v>23</v>
      </c>
      <c r="H39" s="39" t="s">
        <v>16</v>
      </c>
      <c r="I39">
        <v>2</v>
      </c>
      <c r="J39">
        <v>2134000</v>
      </c>
      <c r="K39">
        <v>1450000</v>
      </c>
      <c r="L39">
        <v>4268000</v>
      </c>
      <c r="M39">
        <v>1368000</v>
      </c>
    </row>
    <row r="40" spans="1:13" x14ac:dyDescent="0.3">
      <c r="A40">
        <v>315</v>
      </c>
      <c r="B40" s="1">
        <v>46128</v>
      </c>
      <c r="C40">
        <v>101</v>
      </c>
      <c r="D40" t="s">
        <v>13</v>
      </c>
      <c r="E40" t="s">
        <v>14</v>
      </c>
      <c r="F40">
        <v>203</v>
      </c>
      <c r="G40" t="s">
        <v>20</v>
      </c>
      <c r="H40" s="39" t="s">
        <v>21</v>
      </c>
      <c r="I40">
        <v>2</v>
      </c>
      <c r="J40">
        <v>902500</v>
      </c>
      <c r="K40">
        <v>620000</v>
      </c>
      <c r="L40">
        <v>1805000</v>
      </c>
      <c r="M40">
        <v>565000</v>
      </c>
    </row>
    <row r="41" spans="1:13" x14ac:dyDescent="0.3">
      <c r="A41">
        <v>332</v>
      </c>
      <c r="B41" s="1">
        <v>46134</v>
      </c>
      <c r="C41">
        <v>101</v>
      </c>
      <c r="D41" t="s">
        <v>13</v>
      </c>
      <c r="E41" t="s">
        <v>14</v>
      </c>
      <c r="F41">
        <v>203</v>
      </c>
      <c r="G41" t="s">
        <v>20</v>
      </c>
      <c r="H41" s="39" t="s">
        <v>21</v>
      </c>
      <c r="I41">
        <v>4</v>
      </c>
      <c r="J41">
        <v>921500</v>
      </c>
      <c r="K41">
        <v>620000</v>
      </c>
      <c r="L41">
        <v>3686000</v>
      </c>
      <c r="M41">
        <v>1206000</v>
      </c>
    </row>
    <row r="42" spans="1:13" x14ac:dyDescent="0.3">
      <c r="A42">
        <v>336</v>
      </c>
      <c r="B42" s="1">
        <v>46135</v>
      </c>
      <c r="C42">
        <v>101</v>
      </c>
      <c r="D42" t="s">
        <v>13</v>
      </c>
      <c r="E42" t="s">
        <v>14</v>
      </c>
      <c r="F42">
        <v>202</v>
      </c>
      <c r="G42" t="s">
        <v>19</v>
      </c>
      <c r="H42" s="39" t="s">
        <v>18</v>
      </c>
      <c r="I42">
        <v>3</v>
      </c>
      <c r="J42">
        <v>2800000</v>
      </c>
      <c r="K42">
        <v>2100000</v>
      </c>
      <c r="L42">
        <v>8400000</v>
      </c>
      <c r="M42">
        <v>2100000</v>
      </c>
    </row>
    <row r="43" spans="1:13" x14ac:dyDescent="0.3">
      <c r="A43">
        <v>339</v>
      </c>
      <c r="B43" s="1">
        <v>46136</v>
      </c>
      <c r="C43">
        <v>101</v>
      </c>
      <c r="D43" t="s">
        <v>13</v>
      </c>
      <c r="E43" t="s">
        <v>14</v>
      </c>
      <c r="F43">
        <v>204</v>
      </c>
      <c r="G43" t="s">
        <v>22</v>
      </c>
      <c r="H43" s="39" t="s">
        <v>21</v>
      </c>
      <c r="I43">
        <v>2</v>
      </c>
      <c r="J43">
        <v>506000</v>
      </c>
      <c r="K43">
        <v>330000</v>
      </c>
      <c r="L43">
        <v>1012000</v>
      </c>
      <c r="M43">
        <v>352000</v>
      </c>
    </row>
    <row r="44" spans="1:13" x14ac:dyDescent="0.3">
      <c r="A44">
        <v>340</v>
      </c>
      <c r="B44" s="1">
        <v>46136</v>
      </c>
      <c r="C44">
        <v>101</v>
      </c>
      <c r="D44" t="s">
        <v>13</v>
      </c>
      <c r="E44" t="s">
        <v>14</v>
      </c>
      <c r="F44">
        <v>206</v>
      </c>
      <c r="G44" t="s">
        <v>15</v>
      </c>
      <c r="H44" s="39" t="s">
        <v>16</v>
      </c>
      <c r="I44">
        <v>4</v>
      </c>
      <c r="J44">
        <v>3395000</v>
      </c>
      <c r="K44">
        <v>2350000</v>
      </c>
      <c r="L44">
        <v>13580000</v>
      </c>
      <c r="M44">
        <v>4180000</v>
      </c>
    </row>
    <row r="45" spans="1:13" x14ac:dyDescent="0.3">
      <c r="A45">
        <v>343</v>
      </c>
      <c r="B45" s="1">
        <v>46138</v>
      </c>
      <c r="C45">
        <v>101</v>
      </c>
      <c r="D45" t="s">
        <v>13</v>
      </c>
      <c r="E45" t="s">
        <v>14</v>
      </c>
      <c r="F45">
        <v>203</v>
      </c>
      <c r="G45" t="s">
        <v>20</v>
      </c>
      <c r="H45" s="39" t="s">
        <v>21</v>
      </c>
      <c r="I45">
        <v>5</v>
      </c>
      <c r="J45">
        <v>950000</v>
      </c>
      <c r="K45">
        <v>620000</v>
      </c>
      <c r="L45">
        <v>4750000</v>
      </c>
      <c r="M45">
        <v>1650000</v>
      </c>
    </row>
    <row r="46" spans="1:13" x14ac:dyDescent="0.3">
      <c r="A46">
        <v>344</v>
      </c>
      <c r="B46" s="1">
        <v>46138</v>
      </c>
      <c r="C46">
        <v>101</v>
      </c>
      <c r="D46" t="s">
        <v>13</v>
      </c>
      <c r="E46" t="s">
        <v>14</v>
      </c>
      <c r="F46">
        <v>201</v>
      </c>
      <c r="G46" t="s">
        <v>17</v>
      </c>
      <c r="H46" s="39" t="s">
        <v>18</v>
      </c>
      <c r="I46">
        <v>3</v>
      </c>
      <c r="J46">
        <v>8245000</v>
      </c>
      <c r="K46">
        <v>6800000</v>
      </c>
      <c r="L46">
        <v>24735000</v>
      </c>
      <c r="M46">
        <v>4335000</v>
      </c>
    </row>
    <row r="47" spans="1:13" x14ac:dyDescent="0.3">
      <c r="A47">
        <v>345</v>
      </c>
      <c r="B47" s="1">
        <v>46139</v>
      </c>
      <c r="C47">
        <v>101</v>
      </c>
      <c r="D47" t="s">
        <v>13</v>
      </c>
      <c r="E47" t="s">
        <v>14</v>
      </c>
      <c r="F47">
        <v>202</v>
      </c>
      <c r="G47" t="s">
        <v>19</v>
      </c>
      <c r="H47" s="39" t="s">
        <v>18</v>
      </c>
      <c r="I47">
        <v>3</v>
      </c>
      <c r="J47">
        <v>2716000</v>
      </c>
      <c r="K47">
        <v>2100000</v>
      </c>
      <c r="L47">
        <v>8148000</v>
      </c>
      <c r="M47">
        <v>1848000</v>
      </c>
    </row>
    <row r="48" spans="1:13" x14ac:dyDescent="0.3">
      <c r="A48">
        <v>354</v>
      </c>
      <c r="B48" s="1">
        <v>46142</v>
      </c>
      <c r="C48">
        <v>101</v>
      </c>
      <c r="D48" t="s">
        <v>13</v>
      </c>
      <c r="E48" t="s">
        <v>14</v>
      </c>
      <c r="F48">
        <v>206</v>
      </c>
      <c r="G48" t="s">
        <v>15</v>
      </c>
      <c r="H48" s="39" t="s">
        <v>16</v>
      </c>
      <c r="I48">
        <v>1</v>
      </c>
      <c r="J48">
        <v>3220000</v>
      </c>
      <c r="K48">
        <v>2350000</v>
      </c>
      <c r="L48">
        <v>3220000</v>
      </c>
      <c r="M48">
        <v>870000</v>
      </c>
    </row>
    <row r="49" spans="1:13" x14ac:dyDescent="0.3">
      <c r="A49">
        <v>358</v>
      </c>
      <c r="B49" s="1">
        <v>46144</v>
      </c>
      <c r="C49">
        <v>101</v>
      </c>
      <c r="D49" t="s">
        <v>13</v>
      </c>
      <c r="E49" t="s">
        <v>14</v>
      </c>
      <c r="F49">
        <v>202</v>
      </c>
      <c r="G49" t="s">
        <v>19</v>
      </c>
      <c r="H49" s="39" t="s">
        <v>18</v>
      </c>
      <c r="I49">
        <v>5</v>
      </c>
      <c r="J49">
        <v>2660000</v>
      </c>
      <c r="K49">
        <v>2100000</v>
      </c>
      <c r="L49">
        <v>13300000</v>
      </c>
      <c r="M49">
        <v>2800000</v>
      </c>
    </row>
    <row r="50" spans="1:13" x14ac:dyDescent="0.3">
      <c r="A50">
        <v>373</v>
      </c>
      <c r="B50" s="1">
        <v>46149</v>
      </c>
      <c r="C50">
        <v>101</v>
      </c>
      <c r="D50" t="s">
        <v>13</v>
      </c>
      <c r="E50" t="s">
        <v>14</v>
      </c>
      <c r="F50">
        <v>202</v>
      </c>
      <c r="G50" t="s">
        <v>19</v>
      </c>
      <c r="H50" s="39" t="s">
        <v>18</v>
      </c>
      <c r="I50">
        <v>4</v>
      </c>
      <c r="J50">
        <v>2660000</v>
      </c>
      <c r="K50">
        <v>2100000</v>
      </c>
      <c r="L50">
        <v>10640000</v>
      </c>
      <c r="M50">
        <v>2240000</v>
      </c>
    </row>
    <row r="51" spans="1:13" x14ac:dyDescent="0.3">
      <c r="A51">
        <v>375</v>
      </c>
      <c r="B51" s="1">
        <v>46150</v>
      </c>
      <c r="C51">
        <v>101</v>
      </c>
      <c r="D51" t="s">
        <v>13</v>
      </c>
      <c r="E51" t="s">
        <v>14</v>
      </c>
      <c r="F51">
        <v>204</v>
      </c>
      <c r="G51" t="s">
        <v>22</v>
      </c>
      <c r="H51" s="39" t="s">
        <v>21</v>
      </c>
      <c r="I51">
        <v>5</v>
      </c>
      <c r="J51">
        <v>522500</v>
      </c>
      <c r="K51">
        <v>330000</v>
      </c>
      <c r="L51">
        <v>2612500</v>
      </c>
      <c r="M51">
        <v>962500</v>
      </c>
    </row>
    <row r="52" spans="1:13" x14ac:dyDescent="0.3">
      <c r="A52">
        <v>377</v>
      </c>
      <c r="B52" s="1">
        <v>46151</v>
      </c>
      <c r="C52">
        <v>101</v>
      </c>
      <c r="D52" t="s">
        <v>13</v>
      </c>
      <c r="E52" t="s">
        <v>14</v>
      </c>
      <c r="F52">
        <v>206</v>
      </c>
      <c r="G52" t="s">
        <v>15</v>
      </c>
      <c r="H52" s="39" t="s">
        <v>16</v>
      </c>
      <c r="I52">
        <v>3</v>
      </c>
      <c r="J52">
        <v>3325000</v>
      </c>
      <c r="K52">
        <v>2350000</v>
      </c>
      <c r="L52">
        <v>9975000</v>
      </c>
      <c r="M52">
        <v>2925000</v>
      </c>
    </row>
    <row r="53" spans="1:13" x14ac:dyDescent="0.3">
      <c r="A53">
        <v>379</v>
      </c>
      <c r="B53" s="1">
        <v>46152</v>
      </c>
      <c r="C53">
        <v>101</v>
      </c>
      <c r="D53" t="s">
        <v>13</v>
      </c>
      <c r="E53" t="s">
        <v>14</v>
      </c>
      <c r="F53">
        <v>203</v>
      </c>
      <c r="G53" t="s">
        <v>20</v>
      </c>
      <c r="H53" s="39" t="s">
        <v>21</v>
      </c>
      <c r="I53">
        <v>3</v>
      </c>
      <c r="J53">
        <v>950000</v>
      </c>
      <c r="K53">
        <v>620000</v>
      </c>
      <c r="L53">
        <v>2850000</v>
      </c>
      <c r="M53">
        <v>990000</v>
      </c>
    </row>
    <row r="54" spans="1:13" x14ac:dyDescent="0.3">
      <c r="A54">
        <v>403</v>
      </c>
      <c r="B54" s="1">
        <v>46158</v>
      </c>
      <c r="C54">
        <v>101</v>
      </c>
      <c r="D54" t="s">
        <v>13</v>
      </c>
      <c r="E54" t="s">
        <v>14</v>
      </c>
      <c r="F54">
        <v>202</v>
      </c>
      <c r="G54" t="s">
        <v>19</v>
      </c>
      <c r="H54" s="39" t="s">
        <v>18</v>
      </c>
      <c r="I54">
        <v>5</v>
      </c>
      <c r="J54">
        <v>2576000</v>
      </c>
      <c r="K54">
        <v>2100000</v>
      </c>
      <c r="L54">
        <v>12880000</v>
      </c>
      <c r="M54">
        <v>2380000</v>
      </c>
    </row>
    <row r="55" spans="1:13" x14ac:dyDescent="0.3">
      <c r="A55">
        <v>412</v>
      </c>
      <c r="B55" s="1">
        <v>46161</v>
      </c>
      <c r="C55">
        <v>101</v>
      </c>
      <c r="D55" t="s">
        <v>13</v>
      </c>
      <c r="E55" t="s">
        <v>14</v>
      </c>
      <c r="F55">
        <v>206</v>
      </c>
      <c r="G55" t="s">
        <v>15</v>
      </c>
      <c r="H55" s="39" t="s">
        <v>16</v>
      </c>
      <c r="I55">
        <v>4</v>
      </c>
      <c r="J55">
        <v>3500000</v>
      </c>
      <c r="K55">
        <v>2350000</v>
      </c>
      <c r="L55">
        <v>14000000</v>
      </c>
      <c r="M55">
        <v>4600000</v>
      </c>
    </row>
    <row r="56" spans="1:13" x14ac:dyDescent="0.3">
      <c r="A56">
        <v>413</v>
      </c>
      <c r="B56" s="1">
        <v>46162</v>
      </c>
      <c r="C56">
        <v>101</v>
      </c>
      <c r="D56" t="s">
        <v>13</v>
      </c>
      <c r="E56" t="s">
        <v>14</v>
      </c>
      <c r="F56">
        <v>203</v>
      </c>
      <c r="G56" t="s">
        <v>20</v>
      </c>
      <c r="H56" s="39" t="s">
        <v>21</v>
      </c>
      <c r="I56">
        <v>4</v>
      </c>
      <c r="J56">
        <v>902500</v>
      </c>
      <c r="K56">
        <v>620000</v>
      </c>
      <c r="L56">
        <v>3610000</v>
      </c>
      <c r="M56">
        <v>1130000</v>
      </c>
    </row>
    <row r="57" spans="1:13" x14ac:dyDescent="0.3">
      <c r="A57">
        <v>416</v>
      </c>
      <c r="B57" s="1">
        <v>46163</v>
      </c>
      <c r="C57">
        <v>101</v>
      </c>
      <c r="D57" t="s">
        <v>13</v>
      </c>
      <c r="E57" t="s">
        <v>14</v>
      </c>
      <c r="F57">
        <v>203</v>
      </c>
      <c r="G57" t="s">
        <v>20</v>
      </c>
      <c r="H57" s="39" t="s">
        <v>21</v>
      </c>
      <c r="I57">
        <v>3</v>
      </c>
      <c r="J57">
        <v>921500</v>
      </c>
      <c r="K57">
        <v>620000</v>
      </c>
      <c r="L57">
        <v>2764500</v>
      </c>
      <c r="M57">
        <v>904500</v>
      </c>
    </row>
    <row r="58" spans="1:13" x14ac:dyDescent="0.3">
      <c r="A58">
        <v>417</v>
      </c>
      <c r="B58" s="1">
        <v>46164</v>
      </c>
      <c r="C58">
        <v>101</v>
      </c>
      <c r="D58" t="s">
        <v>13</v>
      </c>
      <c r="E58" t="s">
        <v>14</v>
      </c>
      <c r="F58">
        <v>201</v>
      </c>
      <c r="G58" t="s">
        <v>17</v>
      </c>
      <c r="H58" s="39" t="s">
        <v>18</v>
      </c>
      <c r="I58">
        <v>3</v>
      </c>
      <c r="J58">
        <v>8500000</v>
      </c>
      <c r="K58">
        <v>6800000</v>
      </c>
      <c r="L58">
        <v>25500000</v>
      </c>
      <c r="M58">
        <v>5100000</v>
      </c>
    </row>
    <row r="59" spans="1:13" x14ac:dyDescent="0.3">
      <c r="A59">
        <v>431</v>
      </c>
      <c r="B59" s="1">
        <v>46169</v>
      </c>
      <c r="C59">
        <v>101</v>
      </c>
      <c r="D59" t="s">
        <v>13</v>
      </c>
      <c r="E59" t="s">
        <v>14</v>
      </c>
      <c r="F59">
        <v>205</v>
      </c>
      <c r="G59" t="s">
        <v>23</v>
      </c>
      <c r="H59" s="39" t="s">
        <v>16</v>
      </c>
      <c r="I59">
        <v>1</v>
      </c>
      <c r="J59">
        <v>2024000</v>
      </c>
      <c r="K59">
        <v>1450000</v>
      </c>
      <c r="L59">
        <v>2024000</v>
      </c>
      <c r="M59">
        <v>574000</v>
      </c>
    </row>
    <row r="60" spans="1:13" x14ac:dyDescent="0.3">
      <c r="A60">
        <v>433</v>
      </c>
      <c r="B60" s="1">
        <v>46170</v>
      </c>
      <c r="C60">
        <v>101</v>
      </c>
      <c r="D60" t="s">
        <v>13</v>
      </c>
      <c r="E60" t="s">
        <v>14</v>
      </c>
      <c r="F60">
        <v>202</v>
      </c>
      <c r="G60" t="s">
        <v>19</v>
      </c>
      <c r="H60" s="39" t="s">
        <v>18</v>
      </c>
      <c r="I60">
        <v>5</v>
      </c>
      <c r="J60">
        <v>2660000</v>
      </c>
      <c r="K60">
        <v>2100000</v>
      </c>
      <c r="L60">
        <v>13300000</v>
      </c>
      <c r="M60">
        <v>2800000</v>
      </c>
    </row>
    <row r="61" spans="1:13" x14ac:dyDescent="0.3">
      <c r="A61">
        <v>441</v>
      </c>
      <c r="B61" s="1">
        <v>46173</v>
      </c>
      <c r="C61">
        <v>101</v>
      </c>
      <c r="D61" t="s">
        <v>13</v>
      </c>
      <c r="E61" t="s">
        <v>14</v>
      </c>
      <c r="F61">
        <v>206</v>
      </c>
      <c r="G61" t="s">
        <v>15</v>
      </c>
      <c r="H61" s="39" t="s">
        <v>16</v>
      </c>
      <c r="I61">
        <v>1</v>
      </c>
      <c r="J61">
        <v>3220000</v>
      </c>
      <c r="K61">
        <v>2350000</v>
      </c>
      <c r="L61">
        <v>3220000</v>
      </c>
      <c r="M61">
        <v>870000</v>
      </c>
    </row>
    <row r="62" spans="1:13" x14ac:dyDescent="0.3">
      <c r="A62">
        <v>449</v>
      </c>
      <c r="B62" s="1">
        <v>46176</v>
      </c>
      <c r="C62">
        <v>101</v>
      </c>
      <c r="D62" t="s">
        <v>13</v>
      </c>
      <c r="E62" t="s">
        <v>14</v>
      </c>
      <c r="F62">
        <v>201</v>
      </c>
      <c r="G62" t="s">
        <v>17</v>
      </c>
      <c r="H62" s="39" t="s">
        <v>18</v>
      </c>
      <c r="I62">
        <v>5</v>
      </c>
      <c r="J62">
        <v>8500000</v>
      </c>
      <c r="K62">
        <v>6800000</v>
      </c>
      <c r="L62">
        <v>42500000</v>
      </c>
      <c r="M62">
        <v>8500000</v>
      </c>
    </row>
    <row r="63" spans="1:13" x14ac:dyDescent="0.3">
      <c r="A63">
        <v>469</v>
      </c>
      <c r="B63" s="1">
        <v>46183</v>
      </c>
      <c r="C63">
        <v>101</v>
      </c>
      <c r="D63" t="s">
        <v>13</v>
      </c>
      <c r="E63" t="s">
        <v>14</v>
      </c>
      <c r="F63">
        <v>205</v>
      </c>
      <c r="G63" t="s">
        <v>23</v>
      </c>
      <c r="H63" s="39" t="s">
        <v>16</v>
      </c>
      <c r="I63">
        <v>5</v>
      </c>
      <c r="J63">
        <v>2024000</v>
      </c>
      <c r="K63">
        <v>1450000</v>
      </c>
      <c r="L63">
        <v>10120000</v>
      </c>
      <c r="M63">
        <v>2870000</v>
      </c>
    </row>
    <row r="64" spans="1:13" x14ac:dyDescent="0.3">
      <c r="A64">
        <v>482</v>
      </c>
      <c r="B64" s="1">
        <v>46188</v>
      </c>
      <c r="C64">
        <v>101</v>
      </c>
      <c r="D64" t="s">
        <v>13</v>
      </c>
      <c r="E64" t="s">
        <v>14</v>
      </c>
      <c r="F64">
        <v>206</v>
      </c>
      <c r="G64" t="s">
        <v>15</v>
      </c>
      <c r="H64" s="39" t="s">
        <v>16</v>
      </c>
      <c r="I64">
        <v>2</v>
      </c>
      <c r="J64">
        <v>3220000</v>
      </c>
      <c r="K64">
        <v>2350000</v>
      </c>
      <c r="L64">
        <v>6440000</v>
      </c>
      <c r="M64">
        <v>1740000</v>
      </c>
    </row>
    <row r="65" spans="1:13" x14ac:dyDescent="0.3">
      <c r="A65">
        <v>501</v>
      </c>
      <c r="B65" s="1">
        <v>46193</v>
      </c>
      <c r="C65">
        <v>101</v>
      </c>
      <c r="D65" t="s">
        <v>13</v>
      </c>
      <c r="E65" t="s">
        <v>14</v>
      </c>
      <c r="F65">
        <v>205</v>
      </c>
      <c r="G65" t="s">
        <v>23</v>
      </c>
      <c r="H65" s="39" t="s">
        <v>16</v>
      </c>
      <c r="I65">
        <v>5</v>
      </c>
      <c r="J65">
        <v>2024000</v>
      </c>
      <c r="K65">
        <v>1450000</v>
      </c>
      <c r="L65">
        <v>10120000</v>
      </c>
      <c r="M65">
        <v>2870000</v>
      </c>
    </row>
    <row r="66" spans="1:13" x14ac:dyDescent="0.3">
      <c r="A66">
        <v>511</v>
      </c>
      <c r="B66" s="1">
        <v>46196</v>
      </c>
      <c r="C66">
        <v>101</v>
      </c>
      <c r="D66" t="s">
        <v>13</v>
      </c>
      <c r="E66" t="s">
        <v>14</v>
      </c>
      <c r="F66">
        <v>201</v>
      </c>
      <c r="G66" t="s">
        <v>17</v>
      </c>
      <c r="H66" s="39" t="s">
        <v>18</v>
      </c>
      <c r="I66">
        <v>2</v>
      </c>
      <c r="J66">
        <v>8245000</v>
      </c>
      <c r="K66">
        <v>6800000</v>
      </c>
      <c r="L66">
        <v>16490000</v>
      </c>
      <c r="M66">
        <v>2890000</v>
      </c>
    </row>
    <row r="67" spans="1:13" x14ac:dyDescent="0.3">
      <c r="A67">
        <v>518</v>
      </c>
      <c r="B67" s="1">
        <v>46198</v>
      </c>
      <c r="C67">
        <v>101</v>
      </c>
      <c r="D67" t="s">
        <v>13</v>
      </c>
      <c r="E67" t="s">
        <v>14</v>
      </c>
      <c r="F67">
        <v>205</v>
      </c>
      <c r="G67" t="s">
        <v>23</v>
      </c>
      <c r="H67" s="39" t="s">
        <v>16</v>
      </c>
      <c r="I67">
        <v>5</v>
      </c>
      <c r="J67">
        <v>2090000</v>
      </c>
      <c r="K67">
        <v>1450000</v>
      </c>
      <c r="L67">
        <v>10450000</v>
      </c>
      <c r="M67">
        <v>3200000</v>
      </c>
    </row>
    <row r="68" spans="1:13" x14ac:dyDescent="0.3">
      <c r="A68">
        <v>522</v>
      </c>
      <c r="B68" s="1">
        <v>46199</v>
      </c>
      <c r="C68">
        <v>101</v>
      </c>
      <c r="D68" t="s">
        <v>13</v>
      </c>
      <c r="E68" t="s">
        <v>14</v>
      </c>
      <c r="F68">
        <v>206</v>
      </c>
      <c r="G68" t="s">
        <v>15</v>
      </c>
      <c r="H68" s="39" t="s">
        <v>16</v>
      </c>
      <c r="I68">
        <v>1</v>
      </c>
      <c r="J68">
        <v>3325000</v>
      </c>
      <c r="K68">
        <v>2350000</v>
      </c>
      <c r="L68">
        <v>3325000</v>
      </c>
      <c r="M68">
        <v>975000</v>
      </c>
    </row>
    <row r="69" spans="1:13" x14ac:dyDescent="0.3">
      <c r="A69">
        <v>523</v>
      </c>
      <c r="B69" s="1">
        <v>46200</v>
      </c>
      <c r="C69">
        <v>101</v>
      </c>
      <c r="D69" t="s">
        <v>13</v>
      </c>
      <c r="E69" t="s">
        <v>14</v>
      </c>
      <c r="F69">
        <v>205</v>
      </c>
      <c r="G69" t="s">
        <v>23</v>
      </c>
      <c r="H69" s="39" t="s">
        <v>16</v>
      </c>
      <c r="I69">
        <v>4</v>
      </c>
      <c r="J69">
        <v>2200000</v>
      </c>
      <c r="K69">
        <v>1450000</v>
      </c>
      <c r="L69">
        <v>8800000</v>
      </c>
      <c r="M69">
        <v>3000000</v>
      </c>
    </row>
    <row r="70" spans="1:13" x14ac:dyDescent="0.3">
      <c r="A70">
        <v>535</v>
      </c>
      <c r="B70" s="1">
        <v>46203</v>
      </c>
      <c r="C70">
        <v>101</v>
      </c>
      <c r="D70" t="s">
        <v>13</v>
      </c>
      <c r="E70" t="s">
        <v>14</v>
      </c>
      <c r="F70">
        <v>203</v>
      </c>
      <c r="G70" t="s">
        <v>20</v>
      </c>
      <c r="H70" s="39" t="s">
        <v>21</v>
      </c>
      <c r="I70">
        <v>5</v>
      </c>
      <c r="J70">
        <v>874000</v>
      </c>
      <c r="K70">
        <v>620000</v>
      </c>
      <c r="L70">
        <v>4370000</v>
      </c>
      <c r="M70">
        <v>1270000</v>
      </c>
    </row>
    <row r="71" spans="1:13" x14ac:dyDescent="0.3">
      <c r="A71">
        <v>1</v>
      </c>
      <c r="B71" s="1">
        <v>46024</v>
      </c>
      <c r="C71">
        <v>107</v>
      </c>
      <c r="D71" t="s">
        <v>24</v>
      </c>
      <c r="E71" t="s">
        <v>14</v>
      </c>
      <c r="F71">
        <v>204</v>
      </c>
      <c r="G71" t="s">
        <v>22</v>
      </c>
      <c r="H71" s="39" t="s">
        <v>21</v>
      </c>
      <c r="I71">
        <v>3</v>
      </c>
      <c r="J71">
        <v>533500</v>
      </c>
      <c r="K71">
        <v>330000</v>
      </c>
      <c r="L71">
        <v>1600500</v>
      </c>
      <c r="M71">
        <v>610500</v>
      </c>
    </row>
    <row r="72" spans="1:13" x14ac:dyDescent="0.3">
      <c r="A72">
        <v>2</v>
      </c>
      <c r="B72" s="1">
        <v>46024</v>
      </c>
      <c r="C72">
        <v>107</v>
      </c>
      <c r="D72" t="s">
        <v>24</v>
      </c>
      <c r="E72" t="s">
        <v>14</v>
      </c>
      <c r="F72">
        <v>201</v>
      </c>
      <c r="G72" t="s">
        <v>17</v>
      </c>
      <c r="H72" s="39" t="s">
        <v>18</v>
      </c>
      <c r="I72">
        <v>4</v>
      </c>
      <c r="J72">
        <v>8500000</v>
      </c>
      <c r="K72">
        <v>6800000</v>
      </c>
      <c r="L72">
        <v>34000000</v>
      </c>
      <c r="M72">
        <v>6800000</v>
      </c>
    </row>
    <row r="73" spans="1:13" x14ac:dyDescent="0.3">
      <c r="A73">
        <v>7</v>
      </c>
      <c r="B73" s="1">
        <v>46026</v>
      </c>
      <c r="C73">
        <v>107</v>
      </c>
      <c r="D73" t="s">
        <v>24</v>
      </c>
      <c r="E73" t="s">
        <v>14</v>
      </c>
      <c r="F73">
        <v>204</v>
      </c>
      <c r="G73" t="s">
        <v>22</v>
      </c>
      <c r="H73" s="39" t="s">
        <v>21</v>
      </c>
      <c r="I73">
        <v>3</v>
      </c>
      <c r="J73">
        <v>533500</v>
      </c>
      <c r="K73">
        <v>330000</v>
      </c>
      <c r="L73">
        <v>1600500</v>
      </c>
      <c r="M73">
        <v>610500</v>
      </c>
    </row>
    <row r="74" spans="1:13" x14ac:dyDescent="0.3">
      <c r="A74">
        <v>9</v>
      </c>
      <c r="B74" s="1">
        <v>46027</v>
      </c>
      <c r="C74">
        <v>107</v>
      </c>
      <c r="D74" t="s">
        <v>24</v>
      </c>
      <c r="E74" t="s">
        <v>14</v>
      </c>
      <c r="F74">
        <v>205</v>
      </c>
      <c r="G74" t="s">
        <v>23</v>
      </c>
      <c r="H74" s="39" t="s">
        <v>16</v>
      </c>
      <c r="I74">
        <v>2</v>
      </c>
      <c r="J74">
        <v>2090000</v>
      </c>
      <c r="K74">
        <v>1450000</v>
      </c>
      <c r="L74">
        <v>4180000</v>
      </c>
      <c r="M74">
        <v>1280000</v>
      </c>
    </row>
    <row r="75" spans="1:13" x14ac:dyDescent="0.3">
      <c r="A75">
        <v>12</v>
      </c>
      <c r="B75" s="1">
        <v>46028</v>
      </c>
      <c r="C75">
        <v>107</v>
      </c>
      <c r="D75" t="s">
        <v>24</v>
      </c>
      <c r="E75" t="s">
        <v>14</v>
      </c>
      <c r="F75">
        <v>205</v>
      </c>
      <c r="G75" t="s">
        <v>23</v>
      </c>
      <c r="H75" s="39" t="s">
        <v>16</v>
      </c>
      <c r="I75">
        <v>1</v>
      </c>
      <c r="J75">
        <v>2134000</v>
      </c>
      <c r="K75">
        <v>1450000</v>
      </c>
      <c r="L75">
        <v>2134000</v>
      </c>
      <c r="M75">
        <v>684000</v>
      </c>
    </row>
    <row r="76" spans="1:13" x14ac:dyDescent="0.3">
      <c r="A76">
        <v>21</v>
      </c>
      <c r="B76" s="1">
        <v>46031</v>
      </c>
      <c r="C76">
        <v>107</v>
      </c>
      <c r="D76" t="s">
        <v>24</v>
      </c>
      <c r="E76" t="s">
        <v>14</v>
      </c>
      <c r="F76">
        <v>205</v>
      </c>
      <c r="G76" t="s">
        <v>23</v>
      </c>
      <c r="H76" s="39" t="s">
        <v>16</v>
      </c>
      <c r="I76">
        <v>3</v>
      </c>
      <c r="J76">
        <v>2024000</v>
      </c>
      <c r="K76">
        <v>1450000</v>
      </c>
      <c r="L76">
        <v>6072000</v>
      </c>
      <c r="M76">
        <v>1722000</v>
      </c>
    </row>
    <row r="77" spans="1:13" x14ac:dyDescent="0.3">
      <c r="A77">
        <v>22</v>
      </c>
      <c r="B77" s="1">
        <v>46031</v>
      </c>
      <c r="C77">
        <v>107</v>
      </c>
      <c r="D77" t="s">
        <v>24</v>
      </c>
      <c r="E77" t="s">
        <v>14</v>
      </c>
      <c r="F77">
        <v>203</v>
      </c>
      <c r="G77" t="s">
        <v>20</v>
      </c>
      <c r="H77" s="39" t="s">
        <v>21</v>
      </c>
      <c r="I77">
        <v>5</v>
      </c>
      <c r="J77">
        <v>921500</v>
      </c>
      <c r="K77">
        <v>620000</v>
      </c>
      <c r="L77">
        <v>4607500</v>
      </c>
      <c r="M77">
        <v>1507500</v>
      </c>
    </row>
    <row r="78" spans="1:13" x14ac:dyDescent="0.3">
      <c r="A78">
        <v>25</v>
      </c>
      <c r="B78" s="1">
        <v>46032</v>
      </c>
      <c r="C78">
        <v>107</v>
      </c>
      <c r="D78" t="s">
        <v>24</v>
      </c>
      <c r="E78" t="s">
        <v>14</v>
      </c>
      <c r="F78">
        <v>205</v>
      </c>
      <c r="G78" t="s">
        <v>23</v>
      </c>
      <c r="H78" s="39" t="s">
        <v>16</v>
      </c>
      <c r="I78">
        <v>4</v>
      </c>
      <c r="J78">
        <v>2134000</v>
      </c>
      <c r="K78">
        <v>1450000</v>
      </c>
      <c r="L78">
        <v>8536000</v>
      </c>
      <c r="M78">
        <v>2736000</v>
      </c>
    </row>
    <row r="79" spans="1:13" x14ac:dyDescent="0.3">
      <c r="A79">
        <v>34</v>
      </c>
      <c r="B79" s="1">
        <v>46036</v>
      </c>
      <c r="C79">
        <v>107</v>
      </c>
      <c r="D79" t="s">
        <v>24</v>
      </c>
      <c r="E79" t="s">
        <v>14</v>
      </c>
      <c r="F79">
        <v>201</v>
      </c>
      <c r="G79" t="s">
        <v>17</v>
      </c>
      <c r="H79" s="39" t="s">
        <v>18</v>
      </c>
      <c r="I79">
        <v>2</v>
      </c>
      <c r="J79">
        <v>7820000</v>
      </c>
      <c r="K79">
        <v>6800000</v>
      </c>
      <c r="L79">
        <v>15640000</v>
      </c>
      <c r="M79">
        <v>2040000</v>
      </c>
    </row>
    <row r="80" spans="1:13" x14ac:dyDescent="0.3">
      <c r="A80">
        <v>49</v>
      </c>
      <c r="B80" s="1">
        <v>46040</v>
      </c>
      <c r="C80">
        <v>107</v>
      </c>
      <c r="D80" t="s">
        <v>24</v>
      </c>
      <c r="E80" t="s">
        <v>14</v>
      </c>
      <c r="F80">
        <v>202</v>
      </c>
      <c r="G80" t="s">
        <v>19</v>
      </c>
      <c r="H80" s="39" t="s">
        <v>18</v>
      </c>
      <c r="I80">
        <v>4</v>
      </c>
      <c r="J80">
        <v>2576000</v>
      </c>
      <c r="K80">
        <v>2100000</v>
      </c>
      <c r="L80">
        <v>10304000</v>
      </c>
      <c r="M80">
        <v>1904000</v>
      </c>
    </row>
    <row r="81" spans="1:13" x14ac:dyDescent="0.3">
      <c r="A81">
        <v>54</v>
      </c>
      <c r="B81" s="1">
        <v>46042</v>
      </c>
      <c r="C81">
        <v>107</v>
      </c>
      <c r="D81" t="s">
        <v>24</v>
      </c>
      <c r="E81" t="s">
        <v>14</v>
      </c>
      <c r="F81">
        <v>201</v>
      </c>
      <c r="G81" t="s">
        <v>17</v>
      </c>
      <c r="H81" s="39" t="s">
        <v>18</v>
      </c>
      <c r="I81">
        <v>4</v>
      </c>
      <c r="J81">
        <v>8245000</v>
      </c>
      <c r="K81">
        <v>6800000</v>
      </c>
      <c r="L81">
        <v>32980000</v>
      </c>
      <c r="M81">
        <v>5780000</v>
      </c>
    </row>
    <row r="82" spans="1:13" x14ac:dyDescent="0.3">
      <c r="A82">
        <v>58</v>
      </c>
      <c r="B82" s="1">
        <v>46043</v>
      </c>
      <c r="C82">
        <v>107</v>
      </c>
      <c r="D82" t="s">
        <v>24</v>
      </c>
      <c r="E82" t="s">
        <v>14</v>
      </c>
      <c r="F82">
        <v>201</v>
      </c>
      <c r="G82" t="s">
        <v>17</v>
      </c>
      <c r="H82" s="39" t="s">
        <v>18</v>
      </c>
      <c r="I82">
        <v>1</v>
      </c>
      <c r="J82">
        <v>8245000</v>
      </c>
      <c r="K82">
        <v>6800000</v>
      </c>
      <c r="L82">
        <v>8245000</v>
      </c>
      <c r="M82">
        <v>1445000</v>
      </c>
    </row>
    <row r="83" spans="1:13" x14ac:dyDescent="0.3">
      <c r="A83">
        <v>84</v>
      </c>
      <c r="B83" s="1">
        <v>46051</v>
      </c>
      <c r="C83">
        <v>107</v>
      </c>
      <c r="D83" t="s">
        <v>24</v>
      </c>
      <c r="E83" t="s">
        <v>14</v>
      </c>
      <c r="F83">
        <v>206</v>
      </c>
      <c r="G83" t="s">
        <v>15</v>
      </c>
      <c r="H83" s="39" t="s">
        <v>16</v>
      </c>
      <c r="I83">
        <v>2</v>
      </c>
      <c r="J83">
        <v>3220000</v>
      </c>
      <c r="K83">
        <v>2350000</v>
      </c>
      <c r="L83">
        <v>6440000</v>
      </c>
      <c r="M83">
        <v>1740000</v>
      </c>
    </row>
    <row r="84" spans="1:13" x14ac:dyDescent="0.3">
      <c r="A84">
        <v>92</v>
      </c>
      <c r="B84" s="1">
        <v>46054</v>
      </c>
      <c r="C84">
        <v>107</v>
      </c>
      <c r="D84" t="s">
        <v>24</v>
      </c>
      <c r="E84" t="s">
        <v>14</v>
      </c>
      <c r="F84">
        <v>201</v>
      </c>
      <c r="G84" t="s">
        <v>17</v>
      </c>
      <c r="H84" s="39" t="s">
        <v>18</v>
      </c>
      <c r="I84">
        <v>1</v>
      </c>
      <c r="J84">
        <v>8245000</v>
      </c>
      <c r="K84">
        <v>6800000</v>
      </c>
      <c r="L84">
        <v>8245000</v>
      </c>
      <c r="M84">
        <v>1445000</v>
      </c>
    </row>
    <row r="85" spans="1:13" x14ac:dyDescent="0.3">
      <c r="A85">
        <v>111</v>
      </c>
      <c r="B85" s="1">
        <v>46059</v>
      </c>
      <c r="C85">
        <v>107</v>
      </c>
      <c r="D85" t="s">
        <v>24</v>
      </c>
      <c r="E85" t="s">
        <v>14</v>
      </c>
      <c r="F85">
        <v>201</v>
      </c>
      <c r="G85" t="s">
        <v>17</v>
      </c>
      <c r="H85" s="39" t="s">
        <v>18</v>
      </c>
      <c r="I85">
        <v>4</v>
      </c>
      <c r="J85">
        <v>8500000</v>
      </c>
      <c r="K85">
        <v>6800000</v>
      </c>
      <c r="L85">
        <v>34000000</v>
      </c>
      <c r="M85">
        <v>6800000</v>
      </c>
    </row>
    <row r="86" spans="1:13" x14ac:dyDescent="0.3">
      <c r="A86">
        <v>112</v>
      </c>
      <c r="B86" s="1">
        <v>46060</v>
      </c>
      <c r="C86">
        <v>107</v>
      </c>
      <c r="D86" t="s">
        <v>24</v>
      </c>
      <c r="E86" t="s">
        <v>14</v>
      </c>
      <c r="F86">
        <v>202</v>
      </c>
      <c r="G86" t="s">
        <v>19</v>
      </c>
      <c r="H86" s="39" t="s">
        <v>18</v>
      </c>
      <c r="I86">
        <v>4</v>
      </c>
      <c r="J86">
        <v>2716000</v>
      </c>
      <c r="K86">
        <v>2100000</v>
      </c>
      <c r="L86">
        <v>10864000</v>
      </c>
      <c r="M86">
        <v>2464000</v>
      </c>
    </row>
    <row r="87" spans="1:13" x14ac:dyDescent="0.3">
      <c r="A87">
        <v>117</v>
      </c>
      <c r="B87" s="1">
        <v>46062</v>
      </c>
      <c r="C87">
        <v>107</v>
      </c>
      <c r="D87" t="s">
        <v>24</v>
      </c>
      <c r="E87" t="s">
        <v>14</v>
      </c>
      <c r="F87">
        <v>202</v>
      </c>
      <c r="G87" t="s">
        <v>19</v>
      </c>
      <c r="H87" s="39" t="s">
        <v>18</v>
      </c>
      <c r="I87">
        <v>3</v>
      </c>
      <c r="J87">
        <v>2660000</v>
      </c>
      <c r="K87">
        <v>2100000</v>
      </c>
      <c r="L87">
        <v>7980000</v>
      </c>
      <c r="M87">
        <v>1680000</v>
      </c>
    </row>
    <row r="88" spans="1:13" x14ac:dyDescent="0.3">
      <c r="A88">
        <v>130</v>
      </c>
      <c r="B88" s="1">
        <v>46066</v>
      </c>
      <c r="C88">
        <v>107</v>
      </c>
      <c r="D88" t="s">
        <v>24</v>
      </c>
      <c r="E88" t="s">
        <v>14</v>
      </c>
      <c r="F88">
        <v>204</v>
      </c>
      <c r="G88" t="s">
        <v>22</v>
      </c>
      <c r="H88" s="39" t="s">
        <v>21</v>
      </c>
      <c r="I88">
        <v>1</v>
      </c>
      <c r="J88">
        <v>533500</v>
      </c>
      <c r="K88">
        <v>330000</v>
      </c>
      <c r="L88">
        <v>533500</v>
      </c>
      <c r="M88">
        <v>203500</v>
      </c>
    </row>
    <row r="89" spans="1:13" x14ac:dyDescent="0.3">
      <c r="A89">
        <v>135</v>
      </c>
      <c r="B89" s="1">
        <v>46068</v>
      </c>
      <c r="C89">
        <v>107</v>
      </c>
      <c r="D89" t="s">
        <v>24</v>
      </c>
      <c r="E89" t="s">
        <v>14</v>
      </c>
      <c r="F89">
        <v>201</v>
      </c>
      <c r="G89" t="s">
        <v>17</v>
      </c>
      <c r="H89" s="39" t="s">
        <v>18</v>
      </c>
      <c r="I89">
        <v>1</v>
      </c>
      <c r="J89">
        <v>8245000</v>
      </c>
      <c r="K89">
        <v>6800000</v>
      </c>
      <c r="L89">
        <v>8245000</v>
      </c>
      <c r="M89">
        <v>1445000</v>
      </c>
    </row>
    <row r="90" spans="1:13" x14ac:dyDescent="0.3">
      <c r="A90">
        <v>137</v>
      </c>
      <c r="B90" s="1">
        <v>46068</v>
      </c>
      <c r="C90">
        <v>107</v>
      </c>
      <c r="D90" t="s">
        <v>24</v>
      </c>
      <c r="E90" t="s">
        <v>14</v>
      </c>
      <c r="F90">
        <v>205</v>
      </c>
      <c r="G90" t="s">
        <v>23</v>
      </c>
      <c r="H90" s="39" t="s">
        <v>16</v>
      </c>
      <c r="I90">
        <v>5</v>
      </c>
      <c r="J90">
        <v>2200000</v>
      </c>
      <c r="K90">
        <v>1450000</v>
      </c>
      <c r="L90">
        <v>11000000</v>
      </c>
      <c r="M90">
        <v>3750000</v>
      </c>
    </row>
    <row r="91" spans="1:13" x14ac:dyDescent="0.3">
      <c r="A91">
        <v>151</v>
      </c>
      <c r="B91" s="1">
        <v>46072</v>
      </c>
      <c r="C91">
        <v>107</v>
      </c>
      <c r="D91" t="s">
        <v>24</v>
      </c>
      <c r="E91" t="s">
        <v>14</v>
      </c>
      <c r="F91">
        <v>203</v>
      </c>
      <c r="G91" t="s">
        <v>20</v>
      </c>
      <c r="H91" s="39" t="s">
        <v>21</v>
      </c>
      <c r="I91">
        <v>4</v>
      </c>
      <c r="J91">
        <v>950000</v>
      </c>
      <c r="K91">
        <v>620000</v>
      </c>
      <c r="L91">
        <v>3800000</v>
      </c>
      <c r="M91">
        <v>1320000</v>
      </c>
    </row>
    <row r="92" spans="1:13" x14ac:dyDescent="0.3">
      <c r="A92">
        <v>152</v>
      </c>
      <c r="B92" s="1">
        <v>46072</v>
      </c>
      <c r="C92">
        <v>107</v>
      </c>
      <c r="D92" t="s">
        <v>24</v>
      </c>
      <c r="E92" t="s">
        <v>14</v>
      </c>
      <c r="F92">
        <v>204</v>
      </c>
      <c r="G92" t="s">
        <v>22</v>
      </c>
      <c r="H92" s="39" t="s">
        <v>21</v>
      </c>
      <c r="I92">
        <v>3</v>
      </c>
      <c r="J92">
        <v>506000</v>
      </c>
      <c r="K92">
        <v>330000</v>
      </c>
      <c r="L92">
        <v>1518000</v>
      </c>
      <c r="M92">
        <v>528000</v>
      </c>
    </row>
    <row r="93" spans="1:13" x14ac:dyDescent="0.3">
      <c r="A93">
        <v>168</v>
      </c>
      <c r="B93" s="1">
        <v>46077</v>
      </c>
      <c r="C93">
        <v>107</v>
      </c>
      <c r="D93" t="s">
        <v>24</v>
      </c>
      <c r="E93" t="s">
        <v>14</v>
      </c>
      <c r="F93">
        <v>201</v>
      </c>
      <c r="G93" t="s">
        <v>17</v>
      </c>
      <c r="H93" s="39" t="s">
        <v>18</v>
      </c>
      <c r="I93">
        <v>4</v>
      </c>
      <c r="J93">
        <v>8500000</v>
      </c>
      <c r="K93">
        <v>6800000</v>
      </c>
      <c r="L93">
        <v>34000000</v>
      </c>
      <c r="M93">
        <v>6800000</v>
      </c>
    </row>
    <row r="94" spans="1:13" x14ac:dyDescent="0.3">
      <c r="A94">
        <v>178</v>
      </c>
      <c r="B94" s="1">
        <v>46080</v>
      </c>
      <c r="C94">
        <v>107</v>
      </c>
      <c r="D94" t="s">
        <v>24</v>
      </c>
      <c r="E94" t="s">
        <v>14</v>
      </c>
      <c r="F94">
        <v>204</v>
      </c>
      <c r="G94" t="s">
        <v>22</v>
      </c>
      <c r="H94" s="39" t="s">
        <v>21</v>
      </c>
      <c r="I94">
        <v>3</v>
      </c>
      <c r="J94">
        <v>550000</v>
      </c>
      <c r="K94">
        <v>330000</v>
      </c>
      <c r="L94">
        <v>1650000</v>
      </c>
      <c r="M94">
        <v>660000</v>
      </c>
    </row>
    <row r="95" spans="1:13" x14ac:dyDescent="0.3">
      <c r="A95">
        <v>180</v>
      </c>
      <c r="B95" s="1">
        <v>46081</v>
      </c>
      <c r="C95">
        <v>107</v>
      </c>
      <c r="D95" t="s">
        <v>24</v>
      </c>
      <c r="E95" t="s">
        <v>14</v>
      </c>
      <c r="F95">
        <v>206</v>
      </c>
      <c r="G95" t="s">
        <v>15</v>
      </c>
      <c r="H95" s="39" t="s">
        <v>16</v>
      </c>
      <c r="I95">
        <v>3</v>
      </c>
      <c r="J95">
        <v>3500000</v>
      </c>
      <c r="K95">
        <v>2350000</v>
      </c>
      <c r="L95">
        <v>10500000</v>
      </c>
      <c r="M95">
        <v>3450000</v>
      </c>
    </row>
    <row r="96" spans="1:13" x14ac:dyDescent="0.3">
      <c r="A96">
        <v>194</v>
      </c>
      <c r="B96" s="1">
        <v>46085</v>
      </c>
      <c r="C96">
        <v>107</v>
      </c>
      <c r="D96" t="s">
        <v>24</v>
      </c>
      <c r="E96" t="s">
        <v>14</v>
      </c>
      <c r="F96">
        <v>205</v>
      </c>
      <c r="G96" t="s">
        <v>23</v>
      </c>
      <c r="H96" s="39" t="s">
        <v>16</v>
      </c>
      <c r="I96">
        <v>5</v>
      </c>
      <c r="J96">
        <v>2200000</v>
      </c>
      <c r="K96">
        <v>1450000</v>
      </c>
      <c r="L96">
        <v>11000000</v>
      </c>
      <c r="M96">
        <v>3750000</v>
      </c>
    </row>
    <row r="97" spans="1:13" x14ac:dyDescent="0.3">
      <c r="A97">
        <v>197</v>
      </c>
      <c r="B97" s="1">
        <v>46087</v>
      </c>
      <c r="C97">
        <v>107</v>
      </c>
      <c r="D97" t="s">
        <v>24</v>
      </c>
      <c r="E97" t="s">
        <v>14</v>
      </c>
      <c r="F97">
        <v>204</v>
      </c>
      <c r="G97" t="s">
        <v>22</v>
      </c>
      <c r="H97" s="39" t="s">
        <v>21</v>
      </c>
      <c r="I97">
        <v>5</v>
      </c>
      <c r="J97">
        <v>506000</v>
      </c>
      <c r="K97">
        <v>330000</v>
      </c>
      <c r="L97">
        <v>2530000</v>
      </c>
      <c r="M97">
        <v>880000</v>
      </c>
    </row>
    <row r="98" spans="1:13" x14ac:dyDescent="0.3">
      <c r="A98">
        <v>201</v>
      </c>
      <c r="B98" s="1">
        <v>46089</v>
      </c>
      <c r="C98">
        <v>107</v>
      </c>
      <c r="D98" t="s">
        <v>24</v>
      </c>
      <c r="E98" t="s">
        <v>14</v>
      </c>
      <c r="F98">
        <v>206</v>
      </c>
      <c r="G98" t="s">
        <v>15</v>
      </c>
      <c r="H98" s="39" t="s">
        <v>16</v>
      </c>
      <c r="I98">
        <v>3</v>
      </c>
      <c r="J98">
        <v>3500000</v>
      </c>
      <c r="K98">
        <v>2350000</v>
      </c>
      <c r="L98">
        <v>10500000</v>
      </c>
      <c r="M98">
        <v>3450000</v>
      </c>
    </row>
    <row r="99" spans="1:13" x14ac:dyDescent="0.3">
      <c r="A99">
        <v>213</v>
      </c>
      <c r="B99" s="1">
        <v>46092</v>
      </c>
      <c r="C99">
        <v>107</v>
      </c>
      <c r="D99" t="s">
        <v>24</v>
      </c>
      <c r="E99" t="s">
        <v>14</v>
      </c>
      <c r="F99">
        <v>202</v>
      </c>
      <c r="G99" t="s">
        <v>19</v>
      </c>
      <c r="H99" s="39" t="s">
        <v>18</v>
      </c>
      <c r="I99">
        <v>4</v>
      </c>
      <c r="J99">
        <v>2576000</v>
      </c>
      <c r="K99">
        <v>2100000</v>
      </c>
      <c r="L99">
        <v>10304000</v>
      </c>
      <c r="M99">
        <v>1904000</v>
      </c>
    </row>
    <row r="100" spans="1:13" x14ac:dyDescent="0.3">
      <c r="A100">
        <v>232</v>
      </c>
      <c r="B100" s="1">
        <v>46099</v>
      </c>
      <c r="C100">
        <v>107</v>
      </c>
      <c r="D100" t="s">
        <v>24</v>
      </c>
      <c r="E100" t="s">
        <v>14</v>
      </c>
      <c r="F100">
        <v>205</v>
      </c>
      <c r="G100" t="s">
        <v>23</v>
      </c>
      <c r="H100" s="39" t="s">
        <v>16</v>
      </c>
      <c r="I100">
        <v>3</v>
      </c>
      <c r="J100">
        <v>2024000</v>
      </c>
      <c r="K100">
        <v>1450000</v>
      </c>
      <c r="L100">
        <v>6072000</v>
      </c>
      <c r="M100">
        <v>1722000</v>
      </c>
    </row>
    <row r="101" spans="1:13" x14ac:dyDescent="0.3">
      <c r="A101">
        <v>237</v>
      </c>
      <c r="B101" s="1">
        <v>46102</v>
      </c>
      <c r="C101">
        <v>107</v>
      </c>
      <c r="D101" t="s">
        <v>24</v>
      </c>
      <c r="E101" t="s">
        <v>14</v>
      </c>
      <c r="F101">
        <v>205</v>
      </c>
      <c r="G101" t="s">
        <v>23</v>
      </c>
      <c r="H101" s="39" t="s">
        <v>16</v>
      </c>
      <c r="I101">
        <v>1</v>
      </c>
      <c r="J101">
        <v>2200000</v>
      </c>
      <c r="K101">
        <v>1450000</v>
      </c>
      <c r="L101">
        <v>2200000</v>
      </c>
      <c r="M101">
        <v>750000</v>
      </c>
    </row>
    <row r="102" spans="1:13" x14ac:dyDescent="0.3">
      <c r="A102">
        <v>245</v>
      </c>
      <c r="B102" s="1">
        <v>46104</v>
      </c>
      <c r="C102">
        <v>107</v>
      </c>
      <c r="D102" t="s">
        <v>24</v>
      </c>
      <c r="E102" t="s">
        <v>14</v>
      </c>
      <c r="F102">
        <v>203</v>
      </c>
      <c r="G102" t="s">
        <v>20</v>
      </c>
      <c r="H102" s="39" t="s">
        <v>21</v>
      </c>
      <c r="I102">
        <v>2</v>
      </c>
      <c r="J102">
        <v>874000</v>
      </c>
      <c r="K102">
        <v>620000</v>
      </c>
      <c r="L102">
        <v>1748000</v>
      </c>
      <c r="M102">
        <v>508000</v>
      </c>
    </row>
    <row r="103" spans="1:13" x14ac:dyDescent="0.3">
      <c r="A103">
        <v>250</v>
      </c>
      <c r="B103" s="1">
        <v>46106</v>
      </c>
      <c r="C103">
        <v>107</v>
      </c>
      <c r="D103" t="s">
        <v>24</v>
      </c>
      <c r="E103" t="s">
        <v>14</v>
      </c>
      <c r="F103">
        <v>206</v>
      </c>
      <c r="G103" t="s">
        <v>15</v>
      </c>
      <c r="H103" s="39" t="s">
        <v>16</v>
      </c>
      <c r="I103">
        <v>5</v>
      </c>
      <c r="J103">
        <v>3220000</v>
      </c>
      <c r="K103">
        <v>2350000</v>
      </c>
      <c r="L103">
        <v>16100000</v>
      </c>
      <c r="M103">
        <v>4350000</v>
      </c>
    </row>
    <row r="104" spans="1:13" x14ac:dyDescent="0.3">
      <c r="A104">
        <v>253</v>
      </c>
      <c r="B104" s="1">
        <v>46107</v>
      </c>
      <c r="C104">
        <v>107</v>
      </c>
      <c r="D104" t="s">
        <v>24</v>
      </c>
      <c r="E104" t="s">
        <v>14</v>
      </c>
      <c r="F104">
        <v>203</v>
      </c>
      <c r="G104" t="s">
        <v>20</v>
      </c>
      <c r="H104" s="39" t="s">
        <v>21</v>
      </c>
      <c r="I104">
        <v>2</v>
      </c>
      <c r="J104">
        <v>950000</v>
      </c>
      <c r="K104">
        <v>620000</v>
      </c>
      <c r="L104">
        <v>1900000</v>
      </c>
      <c r="M104">
        <v>660000</v>
      </c>
    </row>
    <row r="105" spans="1:13" x14ac:dyDescent="0.3">
      <c r="A105">
        <v>254</v>
      </c>
      <c r="B105" s="1">
        <v>46107</v>
      </c>
      <c r="C105">
        <v>107</v>
      </c>
      <c r="D105" t="s">
        <v>24</v>
      </c>
      <c r="E105" t="s">
        <v>14</v>
      </c>
      <c r="F105">
        <v>205</v>
      </c>
      <c r="G105" t="s">
        <v>23</v>
      </c>
      <c r="H105" s="39" t="s">
        <v>16</v>
      </c>
      <c r="I105">
        <v>1</v>
      </c>
      <c r="J105">
        <v>2134000</v>
      </c>
      <c r="K105">
        <v>1450000</v>
      </c>
      <c r="L105">
        <v>2134000</v>
      </c>
      <c r="M105">
        <v>684000</v>
      </c>
    </row>
    <row r="106" spans="1:13" x14ac:dyDescent="0.3">
      <c r="A106">
        <v>262</v>
      </c>
      <c r="B106" s="1">
        <v>46111</v>
      </c>
      <c r="C106">
        <v>107</v>
      </c>
      <c r="D106" t="s">
        <v>24</v>
      </c>
      <c r="E106" t="s">
        <v>14</v>
      </c>
      <c r="F106">
        <v>205</v>
      </c>
      <c r="G106" t="s">
        <v>23</v>
      </c>
      <c r="H106" s="39" t="s">
        <v>16</v>
      </c>
      <c r="I106">
        <v>4</v>
      </c>
      <c r="J106">
        <v>2200000</v>
      </c>
      <c r="K106">
        <v>1450000</v>
      </c>
      <c r="L106">
        <v>8800000</v>
      </c>
      <c r="M106">
        <v>3000000</v>
      </c>
    </row>
    <row r="107" spans="1:13" x14ac:dyDescent="0.3">
      <c r="A107">
        <v>266</v>
      </c>
      <c r="B107" s="1">
        <v>46112</v>
      </c>
      <c r="C107">
        <v>107</v>
      </c>
      <c r="D107" t="s">
        <v>24</v>
      </c>
      <c r="E107" t="s">
        <v>14</v>
      </c>
      <c r="F107">
        <v>203</v>
      </c>
      <c r="G107" t="s">
        <v>20</v>
      </c>
      <c r="H107" s="39" t="s">
        <v>21</v>
      </c>
      <c r="I107">
        <v>3</v>
      </c>
      <c r="J107">
        <v>921500</v>
      </c>
      <c r="K107">
        <v>620000</v>
      </c>
      <c r="L107">
        <v>2764500</v>
      </c>
      <c r="M107">
        <v>904500</v>
      </c>
    </row>
    <row r="108" spans="1:13" x14ac:dyDescent="0.3">
      <c r="A108">
        <v>268</v>
      </c>
      <c r="B108" s="1">
        <v>46112</v>
      </c>
      <c r="C108">
        <v>107</v>
      </c>
      <c r="D108" t="s">
        <v>24</v>
      </c>
      <c r="E108" t="s">
        <v>14</v>
      </c>
      <c r="F108">
        <v>203</v>
      </c>
      <c r="G108" t="s">
        <v>20</v>
      </c>
      <c r="H108" s="39" t="s">
        <v>21</v>
      </c>
      <c r="I108">
        <v>2</v>
      </c>
      <c r="J108">
        <v>902500</v>
      </c>
      <c r="K108">
        <v>620000</v>
      </c>
      <c r="L108">
        <v>1805000</v>
      </c>
      <c r="M108">
        <v>565000</v>
      </c>
    </row>
    <row r="109" spans="1:13" x14ac:dyDescent="0.3">
      <c r="A109">
        <v>282</v>
      </c>
      <c r="B109" s="1">
        <v>46117</v>
      </c>
      <c r="C109">
        <v>107</v>
      </c>
      <c r="D109" t="s">
        <v>24</v>
      </c>
      <c r="E109" t="s">
        <v>14</v>
      </c>
      <c r="F109">
        <v>203</v>
      </c>
      <c r="G109" t="s">
        <v>20</v>
      </c>
      <c r="H109" s="39" t="s">
        <v>21</v>
      </c>
      <c r="I109">
        <v>4</v>
      </c>
      <c r="J109">
        <v>902500</v>
      </c>
      <c r="K109">
        <v>620000</v>
      </c>
      <c r="L109">
        <v>3610000</v>
      </c>
      <c r="M109">
        <v>1130000</v>
      </c>
    </row>
    <row r="110" spans="1:13" x14ac:dyDescent="0.3">
      <c r="A110">
        <v>295</v>
      </c>
      <c r="B110" s="1">
        <v>46121</v>
      </c>
      <c r="C110">
        <v>107</v>
      </c>
      <c r="D110" t="s">
        <v>24</v>
      </c>
      <c r="E110" t="s">
        <v>14</v>
      </c>
      <c r="F110">
        <v>205</v>
      </c>
      <c r="G110" t="s">
        <v>23</v>
      </c>
      <c r="H110" s="39" t="s">
        <v>16</v>
      </c>
      <c r="I110">
        <v>4</v>
      </c>
      <c r="J110">
        <v>2024000</v>
      </c>
      <c r="K110">
        <v>1450000</v>
      </c>
      <c r="L110">
        <v>8096000</v>
      </c>
      <c r="M110">
        <v>2296000</v>
      </c>
    </row>
    <row r="111" spans="1:13" x14ac:dyDescent="0.3">
      <c r="A111">
        <v>296</v>
      </c>
      <c r="B111" s="1">
        <v>46122</v>
      </c>
      <c r="C111">
        <v>107</v>
      </c>
      <c r="D111" t="s">
        <v>24</v>
      </c>
      <c r="E111" t="s">
        <v>14</v>
      </c>
      <c r="F111">
        <v>205</v>
      </c>
      <c r="G111" t="s">
        <v>23</v>
      </c>
      <c r="H111" s="39" t="s">
        <v>16</v>
      </c>
      <c r="I111">
        <v>4</v>
      </c>
      <c r="J111">
        <v>2134000</v>
      </c>
      <c r="K111">
        <v>1450000</v>
      </c>
      <c r="L111">
        <v>8536000</v>
      </c>
      <c r="M111">
        <v>2736000</v>
      </c>
    </row>
    <row r="112" spans="1:13" x14ac:dyDescent="0.3">
      <c r="A112">
        <v>297</v>
      </c>
      <c r="B112" s="1">
        <v>46122</v>
      </c>
      <c r="C112">
        <v>107</v>
      </c>
      <c r="D112" t="s">
        <v>24</v>
      </c>
      <c r="E112" t="s">
        <v>14</v>
      </c>
      <c r="F112">
        <v>203</v>
      </c>
      <c r="G112" t="s">
        <v>20</v>
      </c>
      <c r="H112" s="39" t="s">
        <v>21</v>
      </c>
      <c r="I112">
        <v>1</v>
      </c>
      <c r="J112">
        <v>874000</v>
      </c>
      <c r="K112">
        <v>620000</v>
      </c>
      <c r="L112">
        <v>874000</v>
      </c>
      <c r="M112">
        <v>254000</v>
      </c>
    </row>
    <row r="113" spans="1:13" x14ac:dyDescent="0.3">
      <c r="A113">
        <v>324</v>
      </c>
      <c r="B113" s="1">
        <v>46131</v>
      </c>
      <c r="C113">
        <v>107</v>
      </c>
      <c r="D113" t="s">
        <v>24</v>
      </c>
      <c r="E113" t="s">
        <v>14</v>
      </c>
      <c r="F113">
        <v>202</v>
      </c>
      <c r="G113" t="s">
        <v>19</v>
      </c>
      <c r="H113" s="39" t="s">
        <v>18</v>
      </c>
      <c r="I113">
        <v>2</v>
      </c>
      <c r="J113">
        <v>2716000</v>
      </c>
      <c r="K113">
        <v>2100000</v>
      </c>
      <c r="L113">
        <v>5432000</v>
      </c>
      <c r="M113">
        <v>1232000</v>
      </c>
    </row>
    <row r="114" spans="1:13" x14ac:dyDescent="0.3">
      <c r="A114">
        <v>328</v>
      </c>
      <c r="B114" s="1">
        <v>46133</v>
      </c>
      <c r="C114">
        <v>107</v>
      </c>
      <c r="D114" t="s">
        <v>24</v>
      </c>
      <c r="E114" t="s">
        <v>14</v>
      </c>
      <c r="F114">
        <v>203</v>
      </c>
      <c r="G114" t="s">
        <v>20</v>
      </c>
      <c r="H114" s="39" t="s">
        <v>21</v>
      </c>
      <c r="I114">
        <v>5</v>
      </c>
      <c r="J114">
        <v>874000</v>
      </c>
      <c r="K114">
        <v>620000</v>
      </c>
      <c r="L114">
        <v>4370000</v>
      </c>
      <c r="M114">
        <v>1270000</v>
      </c>
    </row>
    <row r="115" spans="1:13" x14ac:dyDescent="0.3">
      <c r="A115">
        <v>367</v>
      </c>
      <c r="B115" s="1">
        <v>46147</v>
      </c>
      <c r="C115">
        <v>107</v>
      </c>
      <c r="D115" t="s">
        <v>24</v>
      </c>
      <c r="E115" t="s">
        <v>14</v>
      </c>
      <c r="F115">
        <v>201</v>
      </c>
      <c r="G115" t="s">
        <v>17</v>
      </c>
      <c r="H115" s="39" t="s">
        <v>18</v>
      </c>
      <c r="I115">
        <v>4</v>
      </c>
      <c r="J115">
        <v>8245000</v>
      </c>
      <c r="K115">
        <v>6800000</v>
      </c>
      <c r="L115">
        <v>32980000</v>
      </c>
      <c r="M115">
        <v>5780000</v>
      </c>
    </row>
    <row r="116" spans="1:13" x14ac:dyDescent="0.3">
      <c r="A116">
        <v>372</v>
      </c>
      <c r="B116" s="1">
        <v>46149</v>
      </c>
      <c r="C116">
        <v>107</v>
      </c>
      <c r="D116" t="s">
        <v>24</v>
      </c>
      <c r="E116" t="s">
        <v>14</v>
      </c>
      <c r="F116">
        <v>201</v>
      </c>
      <c r="G116" t="s">
        <v>17</v>
      </c>
      <c r="H116" s="39" t="s">
        <v>18</v>
      </c>
      <c r="I116">
        <v>4</v>
      </c>
      <c r="J116">
        <v>8075000</v>
      </c>
      <c r="K116">
        <v>6800000</v>
      </c>
      <c r="L116">
        <v>32300000</v>
      </c>
      <c r="M116">
        <v>5100000</v>
      </c>
    </row>
    <row r="117" spans="1:13" x14ac:dyDescent="0.3">
      <c r="A117">
        <v>381</v>
      </c>
      <c r="B117" s="1">
        <v>46152</v>
      </c>
      <c r="C117">
        <v>107</v>
      </c>
      <c r="D117" t="s">
        <v>24</v>
      </c>
      <c r="E117" t="s">
        <v>14</v>
      </c>
      <c r="F117">
        <v>202</v>
      </c>
      <c r="G117" t="s">
        <v>19</v>
      </c>
      <c r="H117" s="39" t="s">
        <v>18</v>
      </c>
      <c r="I117">
        <v>1</v>
      </c>
      <c r="J117">
        <v>2800000</v>
      </c>
      <c r="K117">
        <v>2100000</v>
      </c>
      <c r="L117">
        <v>2800000</v>
      </c>
      <c r="M117">
        <v>700000</v>
      </c>
    </row>
    <row r="118" spans="1:13" x14ac:dyDescent="0.3">
      <c r="A118">
        <v>383</v>
      </c>
      <c r="B118" s="1">
        <v>46153</v>
      </c>
      <c r="C118">
        <v>107</v>
      </c>
      <c r="D118" t="s">
        <v>24</v>
      </c>
      <c r="E118" t="s">
        <v>14</v>
      </c>
      <c r="F118">
        <v>202</v>
      </c>
      <c r="G118" t="s">
        <v>19</v>
      </c>
      <c r="H118" s="39" t="s">
        <v>18</v>
      </c>
      <c r="I118">
        <v>4</v>
      </c>
      <c r="J118">
        <v>2660000</v>
      </c>
      <c r="K118">
        <v>2100000</v>
      </c>
      <c r="L118">
        <v>10640000</v>
      </c>
      <c r="M118">
        <v>2240000</v>
      </c>
    </row>
    <row r="119" spans="1:13" x14ac:dyDescent="0.3">
      <c r="A119">
        <v>385</v>
      </c>
      <c r="B119" s="1">
        <v>46153</v>
      </c>
      <c r="C119">
        <v>107</v>
      </c>
      <c r="D119" t="s">
        <v>24</v>
      </c>
      <c r="E119" t="s">
        <v>14</v>
      </c>
      <c r="F119">
        <v>205</v>
      </c>
      <c r="G119" t="s">
        <v>23</v>
      </c>
      <c r="H119" s="39" t="s">
        <v>16</v>
      </c>
      <c r="I119">
        <v>3</v>
      </c>
      <c r="J119">
        <v>2090000</v>
      </c>
      <c r="K119">
        <v>1450000</v>
      </c>
      <c r="L119">
        <v>6270000</v>
      </c>
      <c r="M119">
        <v>1920000</v>
      </c>
    </row>
    <row r="120" spans="1:13" x14ac:dyDescent="0.3">
      <c r="A120">
        <v>386</v>
      </c>
      <c r="B120" s="1">
        <v>46153</v>
      </c>
      <c r="C120">
        <v>107</v>
      </c>
      <c r="D120" t="s">
        <v>24</v>
      </c>
      <c r="E120" t="s">
        <v>14</v>
      </c>
      <c r="F120">
        <v>204</v>
      </c>
      <c r="G120" t="s">
        <v>22</v>
      </c>
      <c r="H120" s="39" t="s">
        <v>21</v>
      </c>
      <c r="I120">
        <v>2</v>
      </c>
      <c r="J120">
        <v>506000</v>
      </c>
      <c r="K120">
        <v>330000</v>
      </c>
      <c r="L120">
        <v>1012000</v>
      </c>
      <c r="M120">
        <v>352000</v>
      </c>
    </row>
    <row r="121" spans="1:13" x14ac:dyDescent="0.3">
      <c r="A121">
        <v>389</v>
      </c>
      <c r="B121" s="1">
        <v>46154</v>
      </c>
      <c r="C121">
        <v>107</v>
      </c>
      <c r="D121" t="s">
        <v>24</v>
      </c>
      <c r="E121" t="s">
        <v>14</v>
      </c>
      <c r="F121">
        <v>203</v>
      </c>
      <c r="G121" t="s">
        <v>20</v>
      </c>
      <c r="H121" s="39" t="s">
        <v>21</v>
      </c>
      <c r="I121">
        <v>3</v>
      </c>
      <c r="J121">
        <v>921500</v>
      </c>
      <c r="K121">
        <v>620000</v>
      </c>
      <c r="L121">
        <v>2764500</v>
      </c>
      <c r="M121">
        <v>904500</v>
      </c>
    </row>
    <row r="122" spans="1:13" x14ac:dyDescent="0.3">
      <c r="A122">
        <v>401</v>
      </c>
      <c r="B122" s="1">
        <v>46158</v>
      </c>
      <c r="C122">
        <v>107</v>
      </c>
      <c r="D122" t="s">
        <v>24</v>
      </c>
      <c r="E122" t="s">
        <v>14</v>
      </c>
      <c r="F122">
        <v>204</v>
      </c>
      <c r="G122" t="s">
        <v>22</v>
      </c>
      <c r="H122" s="39" t="s">
        <v>21</v>
      </c>
      <c r="I122">
        <v>1</v>
      </c>
      <c r="J122">
        <v>550000</v>
      </c>
      <c r="K122">
        <v>330000</v>
      </c>
      <c r="L122">
        <v>550000</v>
      </c>
      <c r="M122">
        <v>220000</v>
      </c>
    </row>
    <row r="123" spans="1:13" x14ac:dyDescent="0.3">
      <c r="A123">
        <v>404</v>
      </c>
      <c r="B123" s="1">
        <v>46159</v>
      </c>
      <c r="C123">
        <v>107</v>
      </c>
      <c r="D123" t="s">
        <v>24</v>
      </c>
      <c r="E123" t="s">
        <v>14</v>
      </c>
      <c r="F123">
        <v>205</v>
      </c>
      <c r="G123" t="s">
        <v>23</v>
      </c>
      <c r="H123" s="39" t="s">
        <v>16</v>
      </c>
      <c r="I123">
        <v>5</v>
      </c>
      <c r="J123">
        <v>2024000</v>
      </c>
      <c r="K123">
        <v>1450000</v>
      </c>
      <c r="L123">
        <v>10120000</v>
      </c>
      <c r="M123">
        <v>2870000</v>
      </c>
    </row>
    <row r="124" spans="1:13" x14ac:dyDescent="0.3">
      <c r="A124">
        <v>410</v>
      </c>
      <c r="B124" s="1">
        <v>46161</v>
      </c>
      <c r="C124">
        <v>107</v>
      </c>
      <c r="D124" t="s">
        <v>24</v>
      </c>
      <c r="E124" t="s">
        <v>14</v>
      </c>
      <c r="F124">
        <v>201</v>
      </c>
      <c r="G124" t="s">
        <v>17</v>
      </c>
      <c r="H124" s="39" t="s">
        <v>18</v>
      </c>
      <c r="I124">
        <v>2</v>
      </c>
      <c r="J124">
        <v>8500000</v>
      </c>
      <c r="K124">
        <v>6800000</v>
      </c>
      <c r="L124">
        <v>17000000</v>
      </c>
      <c r="M124">
        <v>3400000</v>
      </c>
    </row>
    <row r="125" spans="1:13" x14ac:dyDescent="0.3">
      <c r="A125">
        <v>430</v>
      </c>
      <c r="B125" s="1">
        <v>46169</v>
      </c>
      <c r="C125">
        <v>107</v>
      </c>
      <c r="D125" t="s">
        <v>24</v>
      </c>
      <c r="E125" t="s">
        <v>14</v>
      </c>
      <c r="F125">
        <v>203</v>
      </c>
      <c r="G125" t="s">
        <v>20</v>
      </c>
      <c r="H125" s="39" t="s">
        <v>21</v>
      </c>
      <c r="I125">
        <v>5</v>
      </c>
      <c r="J125">
        <v>921500</v>
      </c>
      <c r="K125">
        <v>620000</v>
      </c>
      <c r="L125">
        <v>4607500</v>
      </c>
      <c r="M125">
        <v>1507500</v>
      </c>
    </row>
    <row r="126" spans="1:13" x14ac:dyDescent="0.3">
      <c r="A126">
        <v>446</v>
      </c>
      <c r="B126" s="1">
        <v>46175</v>
      </c>
      <c r="C126">
        <v>107</v>
      </c>
      <c r="D126" t="s">
        <v>24</v>
      </c>
      <c r="E126" t="s">
        <v>14</v>
      </c>
      <c r="F126">
        <v>206</v>
      </c>
      <c r="G126" t="s">
        <v>15</v>
      </c>
      <c r="H126" s="39" t="s">
        <v>16</v>
      </c>
      <c r="I126">
        <v>1</v>
      </c>
      <c r="J126">
        <v>3500000</v>
      </c>
      <c r="K126">
        <v>2350000</v>
      </c>
      <c r="L126">
        <v>3500000</v>
      </c>
      <c r="M126">
        <v>1150000</v>
      </c>
    </row>
    <row r="127" spans="1:13" x14ac:dyDescent="0.3">
      <c r="A127">
        <v>453</v>
      </c>
      <c r="B127" s="1">
        <v>46178</v>
      </c>
      <c r="C127">
        <v>107</v>
      </c>
      <c r="D127" t="s">
        <v>24</v>
      </c>
      <c r="E127" t="s">
        <v>14</v>
      </c>
      <c r="F127">
        <v>205</v>
      </c>
      <c r="G127" t="s">
        <v>23</v>
      </c>
      <c r="H127" s="39" t="s">
        <v>16</v>
      </c>
      <c r="I127">
        <v>4</v>
      </c>
      <c r="J127">
        <v>2134000</v>
      </c>
      <c r="K127">
        <v>1450000</v>
      </c>
      <c r="L127">
        <v>8536000</v>
      </c>
      <c r="M127">
        <v>2736000</v>
      </c>
    </row>
    <row r="128" spans="1:13" x14ac:dyDescent="0.3">
      <c r="A128">
        <v>480</v>
      </c>
      <c r="B128" s="1">
        <v>46187</v>
      </c>
      <c r="C128">
        <v>107</v>
      </c>
      <c r="D128" t="s">
        <v>24</v>
      </c>
      <c r="E128" t="s">
        <v>14</v>
      </c>
      <c r="F128">
        <v>201</v>
      </c>
      <c r="G128" t="s">
        <v>17</v>
      </c>
      <c r="H128" s="39" t="s">
        <v>18</v>
      </c>
      <c r="I128">
        <v>2</v>
      </c>
      <c r="J128">
        <v>8075000</v>
      </c>
      <c r="K128">
        <v>6800000</v>
      </c>
      <c r="L128">
        <v>16150000</v>
      </c>
      <c r="M128">
        <v>2550000</v>
      </c>
    </row>
    <row r="129" spans="1:13" x14ac:dyDescent="0.3">
      <c r="A129">
        <v>484</v>
      </c>
      <c r="B129" s="1">
        <v>46189</v>
      </c>
      <c r="C129">
        <v>107</v>
      </c>
      <c r="D129" t="s">
        <v>24</v>
      </c>
      <c r="E129" t="s">
        <v>14</v>
      </c>
      <c r="F129">
        <v>202</v>
      </c>
      <c r="G129" t="s">
        <v>19</v>
      </c>
      <c r="H129" s="39" t="s">
        <v>18</v>
      </c>
      <c r="I129">
        <v>5</v>
      </c>
      <c r="J129">
        <v>2660000</v>
      </c>
      <c r="K129">
        <v>2100000</v>
      </c>
      <c r="L129">
        <v>13300000</v>
      </c>
      <c r="M129">
        <v>2800000</v>
      </c>
    </row>
    <row r="130" spans="1:13" x14ac:dyDescent="0.3">
      <c r="A130">
        <v>486</v>
      </c>
      <c r="B130" s="1">
        <v>46189</v>
      </c>
      <c r="C130">
        <v>107</v>
      </c>
      <c r="D130" t="s">
        <v>24</v>
      </c>
      <c r="E130" t="s">
        <v>14</v>
      </c>
      <c r="F130">
        <v>201</v>
      </c>
      <c r="G130" t="s">
        <v>17</v>
      </c>
      <c r="H130" s="39" t="s">
        <v>18</v>
      </c>
      <c r="I130">
        <v>2</v>
      </c>
      <c r="J130">
        <v>8245000</v>
      </c>
      <c r="K130">
        <v>6800000</v>
      </c>
      <c r="L130">
        <v>16490000</v>
      </c>
      <c r="M130">
        <v>2890000</v>
      </c>
    </row>
    <row r="131" spans="1:13" x14ac:dyDescent="0.3">
      <c r="A131">
        <v>496</v>
      </c>
      <c r="B131" s="1">
        <v>46192</v>
      </c>
      <c r="C131">
        <v>107</v>
      </c>
      <c r="D131" t="s">
        <v>24</v>
      </c>
      <c r="E131" t="s">
        <v>14</v>
      </c>
      <c r="F131">
        <v>202</v>
      </c>
      <c r="G131" t="s">
        <v>19</v>
      </c>
      <c r="H131" s="39" t="s">
        <v>18</v>
      </c>
      <c r="I131">
        <v>2</v>
      </c>
      <c r="J131">
        <v>2576000</v>
      </c>
      <c r="K131">
        <v>2100000</v>
      </c>
      <c r="L131">
        <v>5152000</v>
      </c>
      <c r="M131">
        <v>952000</v>
      </c>
    </row>
    <row r="132" spans="1:13" x14ac:dyDescent="0.3">
      <c r="A132">
        <v>521</v>
      </c>
      <c r="B132" s="1">
        <v>46199</v>
      </c>
      <c r="C132">
        <v>107</v>
      </c>
      <c r="D132" t="s">
        <v>24</v>
      </c>
      <c r="E132" t="s">
        <v>14</v>
      </c>
      <c r="F132">
        <v>204</v>
      </c>
      <c r="G132" t="s">
        <v>22</v>
      </c>
      <c r="H132" s="39" t="s">
        <v>21</v>
      </c>
      <c r="I132">
        <v>1</v>
      </c>
      <c r="J132">
        <v>506000</v>
      </c>
      <c r="K132">
        <v>330000</v>
      </c>
      <c r="L132">
        <v>506000</v>
      </c>
      <c r="M132">
        <v>176000</v>
      </c>
    </row>
    <row r="133" spans="1:13" x14ac:dyDescent="0.3">
      <c r="A133">
        <v>528</v>
      </c>
      <c r="B133" s="1">
        <v>46202</v>
      </c>
      <c r="C133">
        <v>107</v>
      </c>
      <c r="D133" t="s">
        <v>24</v>
      </c>
      <c r="E133" t="s">
        <v>14</v>
      </c>
      <c r="F133">
        <v>206</v>
      </c>
      <c r="G133" t="s">
        <v>15</v>
      </c>
      <c r="H133" s="39" t="s">
        <v>16</v>
      </c>
      <c r="I133">
        <v>3</v>
      </c>
      <c r="J133">
        <v>3395000</v>
      </c>
      <c r="K133">
        <v>2350000</v>
      </c>
      <c r="L133">
        <v>10185000</v>
      </c>
      <c r="M133">
        <v>3135000</v>
      </c>
    </row>
    <row r="134" spans="1:13" x14ac:dyDescent="0.3">
      <c r="A134">
        <v>530</v>
      </c>
      <c r="B134" s="1">
        <v>46202</v>
      </c>
      <c r="C134">
        <v>107</v>
      </c>
      <c r="D134" t="s">
        <v>24</v>
      </c>
      <c r="E134" t="s">
        <v>14</v>
      </c>
      <c r="F134">
        <v>202</v>
      </c>
      <c r="G134" t="s">
        <v>19</v>
      </c>
      <c r="H134" s="39" t="s">
        <v>18</v>
      </c>
      <c r="I134">
        <v>3</v>
      </c>
      <c r="J134">
        <v>2800000</v>
      </c>
      <c r="K134">
        <v>2100000</v>
      </c>
      <c r="L134">
        <v>8400000</v>
      </c>
      <c r="M134">
        <v>2100000</v>
      </c>
    </row>
    <row r="135" spans="1:13" x14ac:dyDescent="0.3">
      <c r="A135">
        <v>5</v>
      </c>
      <c r="B135" s="1">
        <v>46026</v>
      </c>
      <c r="C135">
        <v>104</v>
      </c>
      <c r="D135" t="s">
        <v>25</v>
      </c>
      <c r="E135" t="s">
        <v>14</v>
      </c>
      <c r="F135">
        <v>204</v>
      </c>
      <c r="G135" t="s">
        <v>22</v>
      </c>
      <c r="H135" s="39" t="s">
        <v>21</v>
      </c>
      <c r="I135">
        <v>2</v>
      </c>
      <c r="J135">
        <v>550000</v>
      </c>
      <c r="K135">
        <v>330000</v>
      </c>
      <c r="L135">
        <v>1100000</v>
      </c>
      <c r="M135">
        <v>440000</v>
      </c>
    </row>
    <row r="136" spans="1:13" x14ac:dyDescent="0.3">
      <c r="A136">
        <v>13</v>
      </c>
      <c r="B136" s="1">
        <v>46029</v>
      </c>
      <c r="C136">
        <v>104</v>
      </c>
      <c r="D136" t="s">
        <v>25</v>
      </c>
      <c r="E136" t="s">
        <v>14</v>
      </c>
      <c r="F136">
        <v>201</v>
      </c>
      <c r="G136" t="s">
        <v>17</v>
      </c>
      <c r="H136" s="39" t="s">
        <v>18</v>
      </c>
      <c r="I136">
        <v>3</v>
      </c>
      <c r="J136">
        <v>8500000</v>
      </c>
      <c r="K136">
        <v>6800000</v>
      </c>
      <c r="L136">
        <v>25500000</v>
      </c>
      <c r="M136">
        <v>5100000</v>
      </c>
    </row>
    <row r="137" spans="1:13" x14ac:dyDescent="0.3">
      <c r="A137">
        <v>18</v>
      </c>
      <c r="B137" s="1">
        <v>46030</v>
      </c>
      <c r="C137">
        <v>104</v>
      </c>
      <c r="D137" t="s">
        <v>25</v>
      </c>
      <c r="E137" t="s">
        <v>14</v>
      </c>
      <c r="F137">
        <v>202</v>
      </c>
      <c r="G137" t="s">
        <v>19</v>
      </c>
      <c r="H137" s="39" t="s">
        <v>18</v>
      </c>
      <c r="I137">
        <v>2</v>
      </c>
      <c r="J137">
        <v>2660000</v>
      </c>
      <c r="K137">
        <v>2100000</v>
      </c>
      <c r="L137">
        <v>5320000</v>
      </c>
      <c r="M137">
        <v>1120000</v>
      </c>
    </row>
    <row r="138" spans="1:13" x14ac:dyDescent="0.3">
      <c r="A138">
        <v>27</v>
      </c>
      <c r="B138" s="1">
        <v>46032</v>
      </c>
      <c r="C138">
        <v>104</v>
      </c>
      <c r="D138" t="s">
        <v>25</v>
      </c>
      <c r="E138" t="s">
        <v>14</v>
      </c>
      <c r="F138">
        <v>204</v>
      </c>
      <c r="G138" t="s">
        <v>22</v>
      </c>
      <c r="H138" s="39" t="s">
        <v>21</v>
      </c>
      <c r="I138">
        <v>3</v>
      </c>
      <c r="J138">
        <v>550000</v>
      </c>
      <c r="K138">
        <v>330000</v>
      </c>
      <c r="L138">
        <v>1650000</v>
      </c>
      <c r="M138">
        <v>660000</v>
      </c>
    </row>
    <row r="139" spans="1:13" x14ac:dyDescent="0.3">
      <c r="A139">
        <v>38</v>
      </c>
      <c r="B139" s="1">
        <v>46037</v>
      </c>
      <c r="C139">
        <v>104</v>
      </c>
      <c r="D139" t="s">
        <v>25</v>
      </c>
      <c r="E139" t="s">
        <v>14</v>
      </c>
      <c r="F139">
        <v>203</v>
      </c>
      <c r="G139" t="s">
        <v>20</v>
      </c>
      <c r="H139" s="39" t="s">
        <v>21</v>
      </c>
      <c r="I139">
        <v>3</v>
      </c>
      <c r="J139">
        <v>874000</v>
      </c>
      <c r="K139">
        <v>620000</v>
      </c>
      <c r="L139">
        <v>2622000</v>
      </c>
      <c r="M139">
        <v>762000</v>
      </c>
    </row>
    <row r="140" spans="1:13" x14ac:dyDescent="0.3">
      <c r="A140">
        <v>41</v>
      </c>
      <c r="B140" s="1">
        <v>46038</v>
      </c>
      <c r="C140">
        <v>104</v>
      </c>
      <c r="D140" t="s">
        <v>25</v>
      </c>
      <c r="E140" t="s">
        <v>14</v>
      </c>
      <c r="F140">
        <v>205</v>
      </c>
      <c r="G140" t="s">
        <v>23</v>
      </c>
      <c r="H140" s="39" t="s">
        <v>16</v>
      </c>
      <c r="I140">
        <v>1</v>
      </c>
      <c r="J140">
        <v>2024000</v>
      </c>
      <c r="K140">
        <v>1450000</v>
      </c>
      <c r="L140">
        <v>2024000</v>
      </c>
      <c r="M140">
        <v>574000</v>
      </c>
    </row>
    <row r="141" spans="1:13" x14ac:dyDescent="0.3">
      <c r="A141">
        <v>44</v>
      </c>
      <c r="B141" s="1">
        <v>46038</v>
      </c>
      <c r="C141">
        <v>104</v>
      </c>
      <c r="D141" t="s">
        <v>25</v>
      </c>
      <c r="E141" t="s">
        <v>14</v>
      </c>
      <c r="F141">
        <v>202</v>
      </c>
      <c r="G141" t="s">
        <v>19</v>
      </c>
      <c r="H141" s="39" t="s">
        <v>18</v>
      </c>
      <c r="I141">
        <v>2</v>
      </c>
      <c r="J141">
        <v>2660000</v>
      </c>
      <c r="K141">
        <v>2100000</v>
      </c>
      <c r="L141">
        <v>5320000</v>
      </c>
      <c r="M141">
        <v>1120000</v>
      </c>
    </row>
    <row r="142" spans="1:13" x14ac:dyDescent="0.3">
      <c r="A142">
        <v>50</v>
      </c>
      <c r="B142" s="1">
        <v>46040</v>
      </c>
      <c r="C142">
        <v>104</v>
      </c>
      <c r="D142" t="s">
        <v>25</v>
      </c>
      <c r="E142" t="s">
        <v>14</v>
      </c>
      <c r="F142">
        <v>205</v>
      </c>
      <c r="G142" t="s">
        <v>23</v>
      </c>
      <c r="H142" s="39" t="s">
        <v>16</v>
      </c>
      <c r="I142">
        <v>2</v>
      </c>
      <c r="J142">
        <v>2200000</v>
      </c>
      <c r="K142">
        <v>1450000</v>
      </c>
      <c r="L142">
        <v>4400000</v>
      </c>
      <c r="M142">
        <v>1500000</v>
      </c>
    </row>
    <row r="143" spans="1:13" x14ac:dyDescent="0.3">
      <c r="A143">
        <v>51</v>
      </c>
      <c r="B143" s="1">
        <v>46041</v>
      </c>
      <c r="C143">
        <v>104</v>
      </c>
      <c r="D143" t="s">
        <v>25</v>
      </c>
      <c r="E143" t="s">
        <v>14</v>
      </c>
      <c r="F143">
        <v>206</v>
      </c>
      <c r="G143" t="s">
        <v>15</v>
      </c>
      <c r="H143" s="39" t="s">
        <v>16</v>
      </c>
      <c r="I143">
        <v>1</v>
      </c>
      <c r="J143">
        <v>3395000</v>
      </c>
      <c r="K143">
        <v>2350000</v>
      </c>
      <c r="L143">
        <v>3395000</v>
      </c>
      <c r="M143">
        <v>1045000</v>
      </c>
    </row>
    <row r="144" spans="1:13" x14ac:dyDescent="0.3">
      <c r="A144">
        <v>64</v>
      </c>
      <c r="B144" s="1">
        <v>46045</v>
      </c>
      <c r="C144">
        <v>104</v>
      </c>
      <c r="D144" t="s">
        <v>25</v>
      </c>
      <c r="E144" t="s">
        <v>14</v>
      </c>
      <c r="F144">
        <v>203</v>
      </c>
      <c r="G144" t="s">
        <v>20</v>
      </c>
      <c r="H144" s="39" t="s">
        <v>21</v>
      </c>
      <c r="I144">
        <v>3</v>
      </c>
      <c r="J144">
        <v>874000</v>
      </c>
      <c r="K144">
        <v>620000</v>
      </c>
      <c r="L144">
        <v>2622000</v>
      </c>
      <c r="M144">
        <v>762000</v>
      </c>
    </row>
    <row r="145" spans="1:13" x14ac:dyDescent="0.3">
      <c r="A145">
        <v>78</v>
      </c>
      <c r="B145" s="1">
        <v>46049</v>
      </c>
      <c r="C145">
        <v>104</v>
      </c>
      <c r="D145" t="s">
        <v>25</v>
      </c>
      <c r="E145" t="s">
        <v>14</v>
      </c>
      <c r="F145">
        <v>205</v>
      </c>
      <c r="G145" t="s">
        <v>23</v>
      </c>
      <c r="H145" s="39" t="s">
        <v>16</v>
      </c>
      <c r="I145">
        <v>5</v>
      </c>
      <c r="J145">
        <v>2134000</v>
      </c>
      <c r="K145">
        <v>1450000</v>
      </c>
      <c r="L145">
        <v>10670000</v>
      </c>
      <c r="M145">
        <v>3420000</v>
      </c>
    </row>
    <row r="146" spans="1:13" x14ac:dyDescent="0.3">
      <c r="A146">
        <v>108</v>
      </c>
      <c r="B146" s="1">
        <v>46058</v>
      </c>
      <c r="C146">
        <v>104</v>
      </c>
      <c r="D146" t="s">
        <v>25</v>
      </c>
      <c r="E146" t="s">
        <v>14</v>
      </c>
      <c r="F146">
        <v>201</v>
      </c>
      <c r="G146" t="s">
        <v>17</v>
      </c>
      <c r="H146" s="39" t="s">
        <v>18</v>
      </c>
      <c r="I146">
        <v>5</v>
      </c>
      <c r="J146">
        <v>8500000</v>
      </c>
      <c r="K146">
        <v>6800000</v>
      </c>
      <c r="L146">
        <v>42500000</v>
      </c>
      <c r="M146">
        <v>8500000</v>
      </c>
    </row>
    <row r="147" spans="1:13" x14ac:dyDescent="0.3">
      <c r="A147">
        <v>110</v>
      </c>
      <c r="B147" s="1">
        <v>46059</v>
      </c>
      <c r="C147">
        <v>104</v>
      </c>
      <c r="D147" t="s">
        <v>25</v>
      </c>
      <c r="E147" t="s">
        <v>14</v>
      </c>
      <c r="F147">
        <v>203</v>
      </c>
      <c r="G147" t="s">
        <v>20</v>
      </c>
      <c r="H147" s="39" t="s">
        <v>21</v>
      </c>
      <c r="I147">
        <v>4</v>
      </c>
      <c r="J147">
        <v>874000</v>
      </c>
      <c r="K147">
        <v>620000</v>
      </c>
      <c r="L147">
        <v>3496000</v>
      </c>
      <c r="M147">
        <v>1016000</v>
      </c>
    </row>
    <row r="148" spans="1:13" x14ac:dyDescent="0.3">
      <c r="A148">
        <v>127</v>
      </c>
      <c r="B148" s="1">
        <v>46065</v>
      </c>
      <c r="C148">
        <v>104</v>
      </c>
      <c r="D148" t="s">
        <v>25</v>
      </c>
      <c r="E148" t="s">
        <v>14</v>
      </c>
      <c r="F148">
        <v>204</v>
      </c>
      <c r="G148" t="s">
        <v>22</v>
      </c>
      <c r="H148" s="39" t="s">
        <v>21</v>
      </c>
      <c r="I148">
        <v>3</v>
      </c>
      <c r="J148">
        <v>522500</v>
      </c>
      <c r="K148">
        <v>330000</v>
      </c>
      <c r="L148">
        <v>1567500</v>
      </c>
      <c r="M148">
        <v>577500</v>
      </c>
    </row>
    <row r="149" spans="1:13" x14ac:dyDescent="0.3">
      <c r="A149">
        <v>128</v>
      </c>
      <c r="B149" s="1">
        <v>46066</v>
      </c>
      <c r="C149">
        <v>104</v>
      </c>
      <c r="D149" t="s">
        <v>25</v>
      </c>
      <c r="E149" t="s">
        <v>14</v>
      </c>
      <c r="F149">
        <v>205</v>
      </c>
      <c r="G149" t="s">
        <v>23</v>
      </c>
      <c r="H149" s="39" t="s">
        <v>16</v>
      </c>
      <c r="I149">
        <v>2</v>
      </c>
      <c r="J149">
        <v>2024000</v>
      </c>
      <c r="K149">
        <v>1450000</v>
      </c>
      <c r="L149">
        <v>4048000</v>
      </c>
      <c r="M149">
        <v>1148000</v>
      </c>
    </row>
    <row r="150" spans="1:13" x14ac:dyDescent="0.3">
      <c r="A150">
        <v>142</v>
      </c>
      <c r="B150" s="1">
        <v>46070</v>
      </c>
      <c r="C150">
        <v>104</v>
      </c>
      <c r="D150" t="s">
        <v>25</v>
      </c>
      <c r="E150" t="s">
        <v>14</v>
      </c>
      <c r="F150">
        <v>205</v>
      </c>
      <c r="G150" t="s">
        <v>23</v>
      </c>
      <c r="H150" s="39" t="s">
        <v>16</v>
      </c>
      <c r="I150">
        <v>2</v>
      </c>
      <c r="J150">
        <v>2090000</v>
      </c>
      <c r="K150">
        <v>1450000</v>
      </c>
      <c r="L150">
        <v>4180000</v>
      </c>
      <c r="M150">
        <v>1280000</v>
      </c>
    </row>
    <row r="151" spans="1:13" x14ac:dyDescent="0.3">
      <c r="A151">
        <v>145</v>
      </c>
      <c r="B151" s="1">
        <v>46070</v>
      </c>
      <c r="C151">
        <v>104</v>
      </c>
      <c r="D151" t="s">
        <v>25</v>
      </c>
      <c r="E151" t="s">
        <v>14</v>
      </c>
      <c r="F151">
        <v>204</v>
      </c>
      <c r="G151" t="s">
        <v>22</v>
      </c>
      <c r="H151" s="39" t="s">
        <v>21</v>
      </c>
      <c r="I151">
        <v>2</v>
      </c>
      <c r="J151">
        <v>533500</v>
      </c>
      <c r="K151">
        <v>330000</v>
      </c>
      <c r="L151">
        <v>1067000</v>
      </c>
      <c r="M151">
        <v>407000</v>
      </c>
    </row>
    <row r="152" spans="1:13" x14ac:dyDescent="0.3">
      <c r="A152">
        <v>147</v>
      </c>
      <c r="B152" s="1">
        <v>46071</v>
      </c>
      <c r="C152">
        <v>104</v>
      </c>
      <c r="D152" t="s">
        <v>25</v>
      </c>
      <c r="E152" t="s">
        <v>14</v>
      </c>
      <c r="F152">
        <v>203</v>
      </c>
      <c r="G152" t="s">
        <v>20</v>
      </c>
      <c r="H152" s="39" t="s">
        <v>21</v>
      </c>
      <c r="I152">
        <v>1</v>
      </c>
      <c r="J152">
        <v>902500</v>
      </c>
      <c r="K152">
        <v>620000</v>
      </c>
      <c r="L152">
        <v>902500</v>
      </c>
      <c r="M152">
        <v>282500</v>
      </c>
    </row>
    <row r="153" spans="1:13" x14ac:dyDescent="0.3">
      <c r="A153">
        <v>160</v>
      </c>
      <c r="B153" s="1">
        <v>46075</v>
      </c>
      <c r="C153">
        <v>104</v>
      </c>
      <c r="D153" t="s">
        <v>25</v>
      </c>
      <c r="E153" t="s">
        <v>14</v>
      </c>
      <c r="F153">
        <v>205</v>
      </c>
      <c r="G153" t="s">
        <v>23</v>
      </c>
      <c r="H153" s="39" t="s">
        <v>16</v>
      </c>
      <c r="I153">
        <v>5</v>
      </c>
      <c r="J153">
        <v>2024000</v>
      </c>
      <c r="K153">
        <v>1450000</v>
      </c>
      <c r="L153">
        <v>10120000</v>
      </c>
      <c r="M153">
        <v>2870000</v>
      </c>
    </row>
    <row r="154" spans="1:13" x14ac:dyDescent="0.3">
      <c r="A154">
        <v>165</v>
      </c>
      <c r="B154" s="1">
        <v>46076</v>
      </c>
      <c r="C154">
        <v>104</v>
      </c>
      <c r="D154" t="s">
        <v>25</v>
      </c>
      <c r="E154" t="s">
        <v>14</v>
      </c>
      <c r="F154">
        <v>205</v>
      </c>
      <c r="G154" t="s">
        <v>23</v>
      </c>
      <c r="H154" s="39" t="s">
        <v>16</v>
      </c>
      <c r="I154">
        <v>3</v>
      </c>
      <c r="J154">
        <v>2090000</v>
      </c>
      <c r="K154">
        <v>1450000</v>
      </c>
      <c r="L154">
        <v>6270000</v>
      </c>
      <c r="M154">
        <v>1920000</v>
      </c>
    </row>
    <row r="155" spans="1:13" x14ac:dyDescent="0.3">
      <c r="A155">
        <v>170</v>
      </c>
      <c r="B155" s="1">
        <v>46078</v>
      </c>
      <c r="C155">
        <v>104</v>
      </c>
      <c r="D155" t="s">
        <v>25</v>
      </c>
      <c r="E155" t="s">
        <v>14</v>
      </c>
      <c r="F155">
        <v>206</v>
      </c>
      <c r="G155" t="s">
        <v>15</v>
      </c>
      <c r="H155" s="39" t="s">
        <v>16</v>
      </c>
      <c r="I155">
        <v>4</v>
      </c>
      <c r="J155">
        <v>3500000</v>
      </c>
      <c r="K155">
        <v>2350000</v>
      </c>
      <c r="L155">
        <v>14000000</v>
      </c>
      <c r="M155">
        <v>4600000</v>
      </c>
    </row>
    <row r="156" spans="1:13" x14ac:dyDescent="0.3">
      <c r="A156">
        <v>176</v>
      </c>
      <c r="B156" s="1">
        <v>46080</v>
      </c>
      <c r="C156">
        <v>104</v>
      </c>
      <c r="D156" t="s">
        <v>25</v>
      </c>
      <c r="E156" t="s">
        <v>14</v>
      </c>
      <c r="F156">
        <v>201</v>
      </c>
      <c r="G156" t="s">
        <v>17</v>
      </c>
      <c r="H156" s="39" t="s">
        <v>18</v>
      </c>
      <c r="I156">
        <v>4</v>
      </c>
      <c r="J156">
        <v>8500000</v>
      </c>
      <c r="K156">
        <v>6800000</v>
      </c>
      <c r="L156">
        <v>34000000</v>
      </c>
      <c r="M156">
        <v>6800000</v>
      </c>
    </row>
    <row r="157" spans="1:13" x14ac:dyDescent="0.3">
      <c r="A157">
        <v>179</v>
      </c>
      <c r="B157" s="1">
        <v>46080</v>
      </c>
      <c r="C157">
        <v>104</v>
      </c>
      <c r="D157" t="s">
        <v>25</v>
      </c>
      <c r="E157" t="s">
        <v>14</v>
      </c>
      <c r="F157">
        <v>204</v>
      </c>
      <c r="G157" t="s">
        <v>22</v>
      </c>
      <c r="H157" s="39" t="s">
        <v>21</v>
      </c>
      <c r="I157">
        <v>5</v>
      </c>
      <c r="J157">
        <v>550000</v>
      </c>
      <c r="K157">
        <v>330000</v>
      </c>
      <c r="L157">
        <v>2750000</v>
      </c>
      <c r="M157">
        <v>1100000</v>
      </c>
    </row>
    <row r="158" spans="1:13" x14ac:dyDescent="0.3">
      <c r="A158">
        <v>184</v>
      </c>
      <c r="B158" s="1">
        <v>46082</v>
      </c>
      <c r="C158">
        <v>104</v>
      </c>
      <c r="D158" t="s">
        <v>25</v>
      </c>
      <c r="E158" t="s">
        <v>14</v>
      </c>
      <c r="F158">
        <v>205</v>
      </c>
      <c r="G158" t="s">
        <v>23</v>
      </c>
      <c r="H158" s="39" t="s">
        <v>16</v>
      </c>
      <c r="I158">
        <v>5</v>
      </c>
      <c r="J158">
        <v>2134000</v>
      </c>
      <c r="K158">
        <v>1450000</v>
      </c>
      <c r="L158">
        <v>10670000</v>
      </c>
      <c r="M158">
        <v>3420000</v>
      </c>
    </row>
    <row r="159" spans="1:13" x14ac:dyDescent="0.3">
      <c r="A159">
        <v>188</v>
      </c>
      <c r="B159" s="1">
        <v>46083</v>
      </c>
      <c r="C159">
        <v>104</v>
      </c>
      <c r="D159" t="s">
        <v>25</v>
      </c>
      <c r="E159" t="s">
        <v>14</v>
      </c>
      <c r="F159">
        <v>206</v>
      </c>
      <c r="G159" t="s">
        <v>15</v>
      </c>
      <c r="H159" s="39" t="s">
        <v>16</v>
      </c>
      <c r="I159">
        <v>1</v>
      </c>
      <c r="J159">
        <v>3220000</v>
      </c>
      <c r="K159">
        <v>2350000</v>
      </c>
      <c r="L159">
        <v>3220000</v>
      </c>
      <c r="M159">
        <v>870000</v>
      </c>
    </row>
    <row r="160" spans="1:13" x14ac:dyDescent="0.3">
      <c r="A160">
        <v>202</v>
      </c>
      <c r="B160" s="1">
        <v>46089</v>
      </c>
      <c r="C160">
        <v>104</v>
      </c>
      <c r="D160" t="s">
        <v>25</v>
      </c>
      <c r="E160" t="s">
        <v>14</v>
      </c>
      <c r="F160">
        <v>202</v>
      </c>
      <c r="G160" t="s">
        <v>19</v>
      </c>
      <c r="H160" s="39" t="s">
        <v>18</v>
      </c>
      <c r="I160">
        <v>1</v>
      </c>
      <c r="J160">
        <v>2800000</v>
      </c>
      <c r="K160">
        <v>2100000</v>
      </c>
      <c r="L160">
        <v>2800000</v>
      </c>
      <c r="M160">
        <v>700000</v>
      </c>
    </row>
    <row r="161" spans="1:13" x14ac:dyDescent="0.3">
      <c r="A161">
        <v>210</v>
      </c>
      <c r="B161" s="1">
        <v>46091</v>
      </c>
      <c r="C161">
        <v>104</v>
      </c>
      <c r="D161" t="s">
        <v>25</v>
      </c>
      <c r="E161" t="s">
        <v>14</v>
      </c>
      <c r="F161">
        <v>205</v>
      </c>
      <c r="G161" t="s">
        <v>23</v>
      </c>
      <c r="H161" s="39" t="s">
        <v>16</v>
      </c>
      <c r="I161">
        <v>3</v>
      </c>
      <c r="J161">
        <v>2200000</v>
      </c>
      <c r="K161">
        <v>1450000</v>
      </c>
      <c r="L161">
        <v>6600000</v>
      </c>
      <c r="M161">
        <v>2250000</v>
      </c>
    </row>
    <row r="162" spans="1:13" x14ac:dyDescent="0.3">
      <c r="A162">
        <v>214</v>
      </c>
      <c r="B162" s="1">
        <v>46093</v>
      </c>
      <c r="C162">
        <v>104</v>
      </c>
      <c r="D162" t="s">
        <v>25</v>
      </c>
      <c r="E162" t="s">
        <v>14</v>
      </c>
      <c r="F162">
        <v>201</v>
      </c>
      <c r="G162" t="s">
        <v>17</v>
      </c>
      <c r="H162" s="39" t="s">
        <v>18</v>
      </c>
      <c r="I162">
        <v>2</v>
      </c>
      <c r="J162">
        <v>7820000</v>
      </c>
      <c r="K162">
        <v>6800000</v>
      </c>
      <c r="L162">
        <v>15640000</v>
      </c>
      <c r="M162">
        <v>2040000</v>
      </c>
    </row>
    <row r="163" spans="1:13" x14ac:dyDescent="0.3">
      <c r="A163">
        <v>219</v>
      </c>
      <c r="B163" s="1">
        <v>46094</v>
      </c>
      <c r="C163">
        <v>104</v>
      </c>
      <c r="D163" t="s">
        <v>25</v>
      </c>
      <c r="E163" t="s">
        <v>14</v>
      </c>
      <c r="F163">
        <v>201</v>
      </c>
      <c r="G163" t="s">
        <v>17</v>
      </c>
      <c r="H163" s="39" t="s">
        <v>18</v>
      </c>
      <c r="I163">
        <v>1</v>
      </c>
      <c r="J163">
        <v>7820000</v>
      </c>
      <c r="K163">
        <v>6800000</v>
      </c>
      <c r="L163">
        <v>7820000</v>
      </c>
      <c r="M163">
        <v>1020000</v>
      </c>
    </row>
    <row r="164" spans="1:13" x14ac:dyDescent="0.3">
      <c r="A164">
        <v>223</v>
      </c>
      <c r="B164" s="1">
        <v>46096</v>
      </c>
      <c r="C164">
        <v>104</v>
      </c>
      <c r="D164" t="s">
        <v>25</v>
      </c>
      <c r="E164" t="s">
        <v>14</v>
      </c>
      <c r="F164">
        <v>206</v>
      </c>
      <c r="G164" t="s">
        <v>15</v>
      </c>
      <c r="H164" s="39" t="s">
        <v>16</v>
      </c>
      <c r="I164">
        <v>2</v>
      </c>
      <c r="J164">
        <v>3220000</v>
      </c>
      <c r="K164">
        <v>2350000</v>
      </c>
      <c r="L164">
        <v>6440000</v>
      </c>
      <c r="M164">
        <v>1740000</v>
      </c>
    </row>
    <row r="165" spans="1:13" x14ac:dyDescent="0.3">
      <c r="A165">
        <v>247</v>
      </c>
      <c r="B165" s="1">
        <v>46104</v>
      </c>
      <c r="C165">
        <v>104</v>
      </c>
      <c r="D165" t="s">
        <v>25</v>
      </c>
      <c r="E165" t="s">
        <v>14</v>
      </c>
      <c r="F165">
        <v>206</v>
      </c>
      <c r="G165" t="s">
        <v>15</v>
      </c>
      <c r="H165" s="39" t="s">
        <v>16</v>
      </c>
      <c r="I165">
        <v>4</v>
      </c>
      <c r="J165">
        <v>3395000</v>
      </c>
      <c r="K165">
        <v>2350000</v>
      </c>
      <c r="L165">
        <v>13580000</v>
      </c>
      <c r="M165">
        <v>4180000</v>
      </c>
    </row>
    <row r="166" spans="1:13" x14ac:dyDescent="0.3">
      <c r="A166">
        <v>249</v>
      </c>
      <c r="B166" s="1">
        <v>46105</v>
      </c>
      <c r="C166">
        <v>104</v>
      </c>
      <c r="D166" t="s">
        <v>25</v>
      </c>
      <c r="E166" t="s">
        <v>14</v>
      </c>
      <c r="F166">
        <v>201</v>
      </c>
      <c r="G166" t="s">
        <v>17</v>
      </c>
      <c r="H166" s="39" t="s">
        <v>18</v>
      </c>
      <c r="I166">
        <v>4</v>
      </c>
      <c r="J166">
        <v>8500000</v>
      </c>
      <c r="K166">
        <v>6800000</v>
      </c>
      <c r="L166">
        <v>34000000</v>
      </c>
      <c r="M166">
        <v>6800000</v>
      </c>
    </row>
    <row r="167" spans="1:13" x14ac:dyDescent="0.3">
      <c r="A167">
        <v>255</v>
      </c>
      <c r="B167" s="1">
        <v>46107</v>
      </c>
      <c r="C167">
        <v>104</v>
      </c>
      <c r="D167" t="s">
        <v>25</v>
      </c>
      <c r="E167" t="s">
        <v>14</v>
      </c>
      <c r="F167">
        <v>203</v>
      </c>
      <c r="G167" t="s">
        <v>20</v>
      </c>
      <c r="H167" s="39" t="s">
        <v>21</v>
      </c>
      <c r="I167">
        <v>5</v>
      </c>
      <c r="J167">
        <v>950000</v>
      </c>
      <c r="K167">
        <v>620000</v>
      </c>
      <c r="L167">
        <v>4750000</v>
      </c>
      <c r="M167">
        <v>1650000</v>
      </c>
    </row>
    <row r="168" spans="1:13" x14ac:dyDescent="0.3">
      <c r="A168">
        <v>269</v>
      </c>
      <c r="B168" s="1">
        <v>46112</v>
      </c>
      <c r="C168">
        <v>104</v>
      </c>
      <c r="D168" t="s">
        <v>25</v>
      </c>
      <c r="E168" t="s">
        <v>14</v>
      </c>
      <c r="F168">
        <v>206</v>
      </c>
      <c r="G168" t="s">
        <v>15</v>
      </c>
      <c r="H168" s="39" t="s">
        <v>16</v>
      </c>
      <c r="I168">
        <v>3</v>
      </c>
      <c r="J168">
        <v>3325000</v>
      </c>
      <c r="K168">
        <v>2350000</v>
      </c>
      <c r="L168">
        <v>9975000</v>
      </c>
      <c r="M168">
        <v>2925000</v>
      </c>
    </row>
    <row r="169" spans="1:13" x14ac:dyDescent="0.3">
      <c r="A169">
        <v>274</v>
      </c>
      <c r="B169" s="1">
        <v>46115</v>
      </c>
      <c r="C169">
        <v>104</v>
      </c>
      <c r="D169" t="s">
        <v>25</v>
      </c>
      <c r="E169" t="s">
        <v>14</v>
      </c>
      <c r="F169">
        <v>202</v>
      </c>
      <c r="G169" t="s">
        <v>19</v>
      </c>
      <c r="H169" s="39" t="s">
        <v>18</v>
      </c>
      <c r="I169">
        <v>1</v>
      </c>
      <c r="J169">
        <v>2660000</v>
      </c>
      <c r="K169">
        <v>2100000</v>
      </c>
      <c r="L169">
        <v>2660000</v>
      </c>
      <c r="M169">
        <v>560000</v>
      </c>
    </row>
    <row r="170" spans="1:13" x14ac:dyDescent="0.3">
      <c r="A170">
        <v>278</v>
      </c>
      <c r="B170" s="1">
        <v>46116</v>
      </c>
      <c r="C170">
        <v>104</v>
      </c>
      <c r="D170" t="s">
        <v>25</v>
      </c>
      <c r="E170" t="s">
        <v>14</v>
      </c>
      <c r="F170">
        <v>206</v>
      </c>
      <c r="G170" t="s">
        <v>15</v>
      </c>
      <c r="H170" s="39" t="s">
        <v>16</v>
      </c>
      <c r="I170">
        <v>4</v>
      </c>
      <c r="J170">
        <v>3325000</v>
      </c>
      <c r="K170">
        <v>2350000</v>
      </c>
      <c r="L170">
        <v>13300000</v>
      </c>
      <c r="M170">
        <v>3900000</v>
      </c>
    </row>
    <row r="171" spans="1:13" x14ac:dyDescent="0.3">
      <c r="A171">
        <v>288</v>
      </c>
      <c r="B171" s="1">
        <v>46118</v>
      </c>
      <c r="C171">
        <v>104</v>
      </c>
      <c r="D171" t="s">
        <v>25</v>
      </c>
      <c r="E171" t="s">
        <v>14</v>
      </c>
      <c r="F171">
        <v>206</v>
      </c>
      <c r="G171" t="s">
        <v>15</v>
      </c>
      <c r="H171" s="39" t="s">
        <v>16</v>
      </c>
      <c r="I171">
        <v>5</v>
      </c>
      <c r="J171">
        <v>3220000</v>
      </c>
      <c r="K171">
        <v>2350000</v>
      </c>
      <c r="L171">
        <v>16100000</v>
      </c>
      <c r="M171">
        <v>4350000</v>
      </c>
    </row>
    <row r="172" spans="1:13" x14ac:dyDescent="0.3">
      <c r="A172">
        <v>299</v>
      </c>
      <c r="B172" s="1">
        <v>46123</v>
      </c>
      <c r="C172">
        <v>104</v>
      </c>
      <c r="D172" t="s">
        <v>25</v>
      </c>
      <c r="E172" t="s">
        <v>14</v>
      </c>
      <c r="F172">
        <v>201</v>
      </c>
      <c r="G172" t="s">
        <v>17</v>
      </c>
      <c r="H172" s="39" t="s">
        <v>18</v>
      </c>
      <c r="I172">
        <v>5</v>
      </c>
      <c r="J172">
        <v>8075000</v>
      </c>
      <c r="K172">
        <v>6800000</v>
      </c>
      <c r="L172">
        <v>40375000</v>
      </c>
      <c r="M172">
        <v>6375000</v>
      </c>
    </row>
    <row r="173" spans="1:13" x14ac:dyDescent="0.3">
      <c r="A173">
        <v>301</v>
      </c>
      <c r="B173" s="1">
        <v>46124</v>
      </c>
      <c r="C173">
        <v>104</v>
      </c>
      <c r="D173" t="s">
        <v>25</v>
      </c>
      <c r="E173" t="s">
        <v>14</v>
      </c>
      <c r="F173">
        <v>205</v>
      </c>
      <c r="G173" t="s">
        <v>23</v>
      </c>
      <c r="H173" s="39" t="s">
        <v>16</v>
      </c>
      <c r="I173">
        <v>5</v>
      </c>
      <c r="J173">
        <v>2090000</v>
      </c>
      <c r="K173">
        <v>1450000</v>
      </c>
      <c r="L173">
        <v>10450000</v>
      </c>
      <c r="M173">
        <v>3200000</v>
      </c>
    </row>
    <row r="174" spans="1:13" x14ac:dyDescent="0.3">
      <c r="A174">
        <v>305</v>
      </c>
      <c r="B174" s="1">
        <v>46125</v>
      </c>
      <c r="C174">
        <v>104</v>
      </c>
      <c r="D174" t="s">
        <v>25</v>
      </c>
      <c r="E174" t="s">
        <v>14</v>
      </c>
      <c r="F174">
        <v>203</v>
      </c>
      <c r="G174" t="s">
        <v>20</v>
      </c>
      <c r="H174" s="39" t="s">
        <v>21</v>
      </c>
      <c r="I174">
        <v>1</v>
      </c>
      <c r="J174">
        <v>921500</v>
      </c>
      <c r="K174">
        <v>620000</v>
      </c>
      <c r="L174">
        <v>921500</v>
      </c>
      <c r="M174">
        <v>301500</v>
      </c>
    </row>
    <row r="175" spans="1:13" x14ac:dyDescent="0.3">
      <c r="A175">
        <v>337</v>
      </c>
      <c r="B175" s="1">
        <v>46136</v>
      </c>
      <c r="C175">
        <v>104</v>
      </c>
      <c r="D175" t="s">
        <v>25</v>
      </c>
      <c r="E175" t="s">
        <v>14</v>
      </c>
      <c r="F175">
        <v>202</v>
      </c>
      <c r="G175" t="s">
        <v>19</v>
      </c>
      <c r="H175" s="39" t="s">
        <v>18</v>
      </c>
      <c r="I175">
        <v>3</v>
      </c>
      <c r="J175">
        <v>2576000</v>
      </c>
      <c r="K175">
        <v>2100000</v>
      </c>
      <c r="L175">
        <v>7728000</v>
      </c>
      <c r="M175">
        <v>1428000</v>
      </c>
    </row>
    <row r="176" spans="1:13" x14ac:dyDescent="0.3">
      <c r="A176">
        <v>351</v>
      </c>
      <c r="B176" s="1">
        <v>46141</v>
      </c>
      <c r="C176">
        <v>104</v>
      </c>
      <c r="D176" t="s">
        <v>25</v>
      </c>
      <c r="E176" t="s">
        <v>14</v>
      </c>
      <c r="F176">
        <v>203</v>
      </c>
      <c r="G176" t="s">
        <v>20</v>
      </c>
      <c r="H176" s="39" t="s">
        <v>21</v>
      </c>
      <c r="I176">
        <v>5</v>
      </c>
      <c r="J176">
        <v>902500</v>
      </c>
      <c r="K176">
        <v>620000</v>
      </c>
      <c r="L176">
        <v>4512500</v>
      </c>
      <c r="M176">
        <v>1412500</v>
      </c>
    </row>
    <row r="177" spans="1:13" x14ac:dyDescent="0.3">
      <c r="A177">
        <v>356</v>
      </c>
      <c r="B177" s="1">
        <v>46143</v>
      </c>
      <c r="C177">
        <v>104</v>
      </c>
      <c r="D177" t="s">
        <v>25</v>
      </c>
      <c r="E177" t="s">
        <v>14</v>
      </c>
      <c r="F177">
        <v>202</v>
      </c>
      <c r="G177" t="s">
        <v>19</v>
      </c>
      <c r="H177" s="39" t="s">
        <v>18</v>
      </c>
      <c r="I177">
        <v>1</v>
      </c>
      <c r="J177">
        <v>2660000</v>
      </c>
      <c r="K177">
        <v>2100000</v>
      </c>
      <c r="L177">
        <v>2660000</v>
      </c>
      <c r="M177">
        <v>560000</v>
      </c>
    </row>
    <row r="178" spans="1:13" x14ac:dyDescent="0.3">
      <c r="A178">
        <v>359</v>
      </c>
      <c r="B178" s="1">
        <v>46145</v>
      </c>
      <c r="C178">
        <v>104</v>
      </c>
      <c r="D178" t="s">
        <v>25</v>
      </c>
      <c r="E178" t="s">
        <v>14</v>
      </c>
      <c r="F178">
        <v>201</v>
      </c>
      <c r="G178" t="s">
        <v>17</v>
      </c>
      <c r="H178" s="39" t="s">
        <v>18</v>
      </c>
      <c r="I178">
        <v>5</v>
      </c>
      <c r="J178">
        <v>7820000</v>
      </c>
      <c r="K178">
        <v>6800000</v>
      </c>
      <c r="L178">
        <v>39100000</v>
      </c>
      <c r="M178">
        <v>5100000</v>
      </c>
    </row>
    <row r="179" spans="1:13" x14ac:dyDescent="0.3">
      <c r="A179">
        <v>368</v>
      </c>
      <c r="B179" s="1">
        <v>46147</v>
      </c>
      <c r="C179">
        <v>104</v>
      </c>
      <c r="D179" t="s">
        <v>25</v>
      </c>
      <c r="E179" t="s">
        <v>14</v>
      </c>
      <c r="F179">
        <v>201</v>
      </c>
      <c r="G179" t="s">
        <v>17</v>
      </c>
      <c r="H179" s="39" t="s">
        <v>18</v>
      </c>
      <c r="I179">
        <v>4</v>
      </c>
      <c r="J179">
        <v>8500000</v>
      </c>
      <c r="K179">
        <v>6800000</v>
      </c>
      <c r="L179">
        <v>34000000</v>
      </c>
      <c r="M179">
        <v>6800000</v>
      </c>
    </row>
    <row r="180" spans="1:13" x14ac:dyDescent="0.3">
      <c r="A180">
        <v>376</v>
      </c>
      <c r="B180" s="1">
        <v>46151</v>
      </c>
      <c r="C180">
        <v>104</v>
      </c>
      <c r="D180" t="s">
        <v>25</v>
      </c>
      <c r="E180" t="s">
        <v>14</v>
      </c>
      <c r="F180">
        <v>201</v>
      </c>
      <c r="G180" t="s">
        <v>17</v>
      </c>
      <c r="H180" s="39" t="s">
        <v>18</v>
      </c>
      <c r="I180">
        <v>3</v>
      </c>
      <c r="J180">
        <v>7820000</v>
      </c>
      <c r="K180">
        <v>6800000</v>
      </c>
      <c r="L180">
        <v>23460000</v>
      </c>
      <c r="M180">
        <v>3060000</v>
      </c>
    </row>
    <row r="181" spans="1:13" x14ac:dyDescent="0.3">
      <c r="A181">
        <v>390</v>
      </c>
      <c r="B181" s="1">
        <v>46154</v>
      </c>
      <c r="C181">
        <v>104</v>
      </c>
      <c r="D181" t="s">
        <v>25</v>
      </c>
      <c r="E181" t="s">
        <v>14</v>
      </c>
      <c r="F181">
        <v>206</v>
      </c>
      <c r="G181" t="s">
        <v>15</v>
      </c>
      <c r="H181" s="39" t="s">
        <v>16</v>
      </c>
      <c r="I181">
        <v>1</v>
      </c>
      <c r="J181">
        <v>3220000</v>
      </c>
      <c r="K181">
        <v>2350000</v>
      </c>
      <c r="L181">
        <v>3220000</v>
      </c>
      <c r="M181">
        <v>870000</v>
      </c>
    </row>
    <row r="182" spans="1:13" x14ac:dyDescent="0.3">
      <c r="A182">
        <v>392</v>
      </c>
      <c r="B182" s="1">
        <v>46155</v>
      </c>
      <c r="C182">
        <v>104</v>
      </c>
      <c r="D182" t="s">
        <v>25</v>
      </c>
      <c r="E182" t="s">
        <v>14</v>
      </c>
      <c r="F182">
        <v>201</v>
      </c>
      <c r="G182" t="s">
        <v>17</v>
      </c>
      <c r="H182" s="39" t="s">
        <v>18</v>
      </c>
      <c r="I182">
        <v>2</v>
      </c>
      <c r="J182">
        <v>7820000</v>
      </c>
      <c r="K182">
        <v>6800000</v>
      </c>
      <c r="L182">
        <v>15640000</v>
      </c>
      <c r="M182">
        <v>2040000</v>
      </c>
    </row>
    <row r="183" spans="1:13" x14ac:dyDescent="0.3">
      <c r="A183">
        <v>397</v>
      </c>
      <c r="B183" s="1">
        <v>46157</v>
      </c>
      <c r="C183">
        <v>104</v>
      </c>
      <c r="D183" t="s">
        <v>25</v>
      </c>
      <c r="E183" t="s">
        <v>14</v>
      </c>
      <c r="F183">
        <v>204</v>
      </c>
      <c r="G183" t="s">
        <v>22</v>
      </c>
      <c r="H183" s="39" t="s">
        <v>21</v>
      </c>
      <c r="I183">
        <v>1</v>
      </c>
      <c r="J183">
        <v>522500</v>
      </c>
      <c r="K183">
        <v>330000</v>
      </c>
      <c r="L183">
        <v>522500</v>
      </c>
      <c r="M183">
        <v>192500</v>
      </c>
    </row>
    <row r="184" spans="1:13" x14ac:dyDescent="0.3">
      <c r="A184">
        <v>407</v>
      </c>
      <c r="B184" s="1">
        <v>46160</v>
      </c>
      <c r="C184">
        <v>104</v>
      </c>
      <c r="D184" t="s">
        <v>25</v>
      </c>
      <c r="E184" t="s">
        <v>14</v>
      </c>
      <c r="F184">
        <v>201</v>
      </c>
      <c r="G184" t="s">
        <v>17</v>
      </c>
      <c r="H184" s="39" t="s">
        <v>18</v>
      </c>
      <c r="I184">
        <v>4</v>
      </c>
      <c r="J184">
        <v>8075000</v>
      </c>
      <c r="K184">
        <v>6800000</v>
      </c>
      <c r="L184">
        <v>32300000</v>
      </c>
      <c r="M184">
        <v>5100000</v>
      </c>
    </row>
    <row r="185" spans="1:13" x14ac:dyDescent="0.3">
      <c r="A185">
        <v>425</v>
      </c>
      <c r="B185" s="1">
        <v>46167</v>
      </c>
      <c r="C185">
        <v>104</v>
      </c>
      <c r="D185" t="s">
        <v>25</v>
      </c>
      <c r="E185" t="s">
        <v>14</v>
      </c>
      <c r="F185">
        <v>201</v>
      </c>
      <c r="G185" t="s">
        <v>17</v>
      </c>
      <c r="H185" s="39" t="s">
        <v>18</v>
      </c>
      <c r="I185">
        <v>5</v>
      </c>
      <c r="J185">
        <v>7820000</v>
      </c>
      <c r="K185">
        <v>6800000</v>
      </c>
      <c r="L185">
        <v>39100000</v>
      </c>
      <c r="M185">
        <v>5100000</v>
      </c>
    </row>
    <row r="186" spans="1:13" x14ac:dyDescent="0.3">
      <c r="A186">
        <v>434</v>
      </c>
      <c r="B186" s="1">
        <v>46171</v>
      </c>
      <c r="C186">
        <v>104</v>
      </c>
      <c r="D186" t="s">
        <v>25</v>
      </c>
      <c r="E186" t="s">
        <v>14</v>
      </c>
      <c r="F186">
        <v>202</v>
      </c>
      <c r="G186" t="s">
        <v>19</v>
      </c>
      <c r="H186" s="39" t="s">
        <v>18</v>
      </c>
      <c r="I186">
        <v>1</v>
      </c>
      <c r="J186">
        <v>2576000</v>
      </c>
      <c r="K186">
        <v>2100000</v>
      </c>
      <c r="L186">
        <v>2576000</v>
      </c>
      <c r="M186">
        <v>476000</v>
      </c>
    </row>
    <row r="187" spans="1:13" x14ac:dyDescent="0.3">
      <c r="A187">
        <v>436</v>
      </c>
      <c r="B187" s="1">
        <v>46172</v>
      </c>
      <c r="C187">
        <v>104</v>
      </c>
      <c r="D187" t="s">
        <v>25</v>
      </c>
      <c r="E187" t="s">
        <v>14</v>
      </c>
      <c r="F187">
        <v>202</v>
      </c>
      <c r="G187" t="s">
        <v>19</v>
      </c>
      <c r="H187" s="39" t="s">
        <v>18</v>
      </c>
      <c r="I187">
        <v>2</v>
      </c>
      <c r="J187">
        <v>2576000</v>
      </c>
      <c r="K187">
        <v>2100000</v>
      </c>
      <c r="L187">
        <v>5152000</v>
      </c>
      <c r="M187">
        <v>952000</v>
      </c>
    </row>
    <row r="188" spans="1:13" x14ac:dyDescent="0.3">
      <c r="A188">
        <v>454</v>
      </c>
      <c r="B188" s="1">
        <v>46178</v>
      </c>
      <c r="C188">
        <v>104</v>
      </c>
      <c r="D188" t="s">
        <v>25</v>
      </c>
      <c r="E188" t="s">
        <v>14</v>
      </c>
      <c r="F188">
        <v>206</v>
      </c>
      <c r="G188" t="s">
        <v>15</v>
      </c>
      <c r="H188" s="39" t="s">
        <v>16</v>
      </c>
      <c r="I188">
        <v>1</v>
      </c>
      <c r="J188">
        <v>3220000</v>
      </c>
      <c r="K188">
        <v>2350000</v>
      </c>
      <c r="L188">
        <v>3220000</v>
      </c>
      <c r="M188">
        <v>870000</v>
      </c>
    </row>
    <row r="189" spans="1:13" x14ac:dyDescent="0.3">
      <c r="A189">
        <v>462</v>
      </c>
      <c r="B189" s="1">
        <v>46181</v>
      </c>
      <c r="C189">
        <v>104</v>
      </c>
      <c r="D189" t="s">
        <v>25</v>
      </c>
      <c r="E189" t="s">
        <v>14</v>
      </c>
      <c r="F189">
        <v>203</v>
      </c>
      <c r="G189" t="s">
        <v>20</v>
      </c>
      <c r="H189" s="39" t="s">
        <v>21</v>
      </c>
      <c r="I189">
        <v>4</v>
      </c>
      <c r="J189">
        <v>950000</v>
      </c>
      <c r="K189">
        <v>620000</v>
      </c>
      <c r="L189">
        <v>3800000</v>
      </c>
      <c r="M189">
        <v>1320000</v>
      </c>
    </row>
    <row r="190" spans="1:13" x14ac:dyDescent="0.3">
      <c r="A190">
        <v>463</v>
      </c>
      <c r="B190" s="1">
        <v>46181</v>
      </c>
      <c r="C190">
        <v>104</v>
      </c>
      <c r="D190" t="s">
        <v>25</v>
      </c>
      <c r="E190" t="s">
        <v>14</v>
      </c>
      <c r="F190">
        <v>201</v>
      </c>
      <c r="G190" t="s">
        <v>17</v>
      </c>
      <c r="H190" s="39" t="s">
        <v>18</v>
      </c>
      <c r="I190">
        <v>4</v>
      </c>
      <c r="J190">
        <v>8075000</v>
      </c>
      <c r="K190">
        <v>6800000</v>
      </c>
      <c r="L190">
        <v>32300000</v>
      </c>
      <c r="M190">
        <v>5100000</v>
      </c>
    </row>
    <row r="191" spans="1:13" x14ac:dyDescent="0.3">
      <c r="A191">
        <v>464</v>
      </c>
      <c r="B191" s="1">
        <v>46181</v>
      </c>
      <c r="C191">
        <v>104</v>
      </c>
      <c r="D191" t="s">
        <v>25</v>
      </c>
      <c r="E191" t="s">
        <v>14</v>
      </c>
      <c r="F191">
        <v>203</v>
      </c>
      <c r="G191" t="s">
        <v>20</v>
      </c>
      <c r="H191" s="39" t="s">
        <v>21</v>
      </c>
      <c r="I191">
        <v>1</v>
      </c>
      <c r="J191">
        <v>874000</v>
      </c>
      <c r="K191">
        <v>620000</v>
      </c>
      <c r="L191">
        <v>874000</v>
      </c>
      <c r="M191">
        <v>254000</v>
      </c>
    </row>
    <row r="192" spans="1:13" x14ac:dyDescent="0.3">
      <c r="A192">
        <v>466</v>
      </c>
      <c r="B192" s="1">
        <v>46182</v>
      </c>
      <c r="C192">
        <v>104</v>
      </c>
      <c r="D192" t="s">
        <v>25</v>
      </c>
      <c r="E192" t="s">
        <v>14</v>
      </c>
      <c r="F192">
        <v>202</v>
      </c>
      <c r="G192" t="s">
        <v>19</v>
      </c>
      <c r="H192" s="39" t="s">
        <v>18</v>
      </c>
      <c r="I192">
        <v>4</v>
      </c>
      <c r="J192">
        <v>2660000</v>
      </c>
      <c r="K192">
        <v>2100000</v>
      </c>
      <c r="L192">
        <v>10640000</v>
      </c>
      <c r="M192">
        <v>2240000</v>
      </c>
    </row>
    <row r="193" spans="1:13" x14ac:dyDescent="0.3">
      <c r="A193">
        <v>475</v>
      </c>
      <c r="B193" s="1">
        <v>46185</v>
      </c>
      <c r="C193">
        <v>104</v>
      </c>
      <c r="D193" t="s">
        <v>25</v>
      </c>
      <c r="E193" t="s">
        <v>14</v>
      </c>
      <c r="F193">
        <v>203</v>
      </c>
      <c r="G193" t="s">
        <v>20</v>
      </c>
      <c r="H193" s="39" t="s">
        <v>21</v>
      </c>
      <c r="I193">
        <v>5</v>
      </c>
      <c r="J193">
        <v>902500</v>
      </c>
      <c r="K193">
        <v>620000</v>
      </c>
      <c r="L193">
        <v>4512500</v>
      </c>
      <c r="M193">
        <v>1412500</v>
      </c>
    </row>
    <row r="194" spans="1:13" x14ac:dyDescent="0.3">
      <c r="A194">
        <v>479</v>
      </c>
      <c r="B194" s="1">
        <v>46186</v>
      </c>
      <c r="C194">
        <v>104</v>
      </c>
      <c r="D194" t="s">
        <v>25</v>
      </c>
      <c r="E194" t="s">
        <v>14</v>
      </c>
      <c r="F194">
        <v>203</v>
      </c>
      <c r="G194" t="s">
        <v>20</v>
      </c>
      <c r="H194" s="39" t="s">
        <v>21</v>
      </c>
      <c r="I194">
        <v>3</v>
      </c>
      <c r="J194">
        <v>921500</v>
      </c>
      <c r="K194">
        <v>620000</v>
      </c>
      <c r="L194">
        <v>2764500</v>
      </c>
      <c r="M194">
        <v>904500</v>
      </c>
    </row>
    <row r="195" spans="1:13" x14ac:dyDescent="0.3">
      <c r="A195">
        <v>506</v>
      </c>
      <c r="B195" s="1">
        <v>46194</v>
      </c>
      <c r="C195">
        <v>104</v>
      </c>
      <c r="D195" t="s">
        <v>25</v>
      </c>
      <c r="E195" t="s">
        <v>14</v>
      </c>
      <c r="F195">
        <v>202</v>
      </c>
      <c r="G195" t="s">
        <v>19</v>
      </c>
      <c r="H195" s="39" t="s">
        <v>18</v>
      </c>
      <c r="I195">
        <v>2</v>
      </c>
      <c r="J195">
        <v>2660000</v>
      </c>
      <c r="K195">
        <v>2100000</v>
      </c>
      <c r="L195">
        <v>5320000</v>
      </c>
      <c r="M195">
        <v>1120000</v>
      </c>
    </row>
    <row r="196" spans="1:13" x14ac:dyDescent="0.3">
      <c r="A196">
        <v>509</v>
      </c>
      <c r="B196" s="1">
        <v>46195</v>
      </c>
      <c r="C196">
        <v>104</v>
      </c>
      <c r="D196" t="s">
        <v>25</v>
      </c>
      <c r="E196" t="s">
        <v>14</v>
      </c>
      <c r="F196">
        <v>205</v>
      </c>
      <c r="G196" t="s">
        <v>23</v>
      </c>
      <c r="H196" s="39" t="s">
        <v>16</v>
      </c>
      <c r="I196">
        <v>1</v>
      </c>
      <c r="J196">
        <v>2024000</v>
      </c>
      <c r="K196">
        <v>1450000</v>
      </c>
      <c r="L196">
        <v>2024000</v>
      </c>
      <c r="M196">
        <v>574000</v>
      </c>
    </row>
    <row r="197" spans="1:13" x14ac:dyDescent="0.3">
      <c r="A197">
        <v>8</v>
      </c>
      <c r="B197" s="1">
        <v>46026</v>
      </c>
      <c r="C197">
        <v>102</v>
      </c>
      <c r="D197" t="s">
        <v>27</v>
      </c>
      <c r="E197" t="s">
        <v>28</v>
      </c>
      <c r="F197">
        <v>201</v>
      </c>
      <c r="G197" t="s">
        <v>17</v>
      </c>
      <c r="H197" s="39" t="s">
        <v>18</v>
      </c>
      <c r="I197">
        <v>3</v>
      </c>
      <c r="J197">
        <v>7820000</v>
      </c>
      <c r="K197">
        <v>6800000</v>
      </c>
      <c r="L197">
        <v>23460000</v>
      </c>
      <c r="M197">
        <v>3060000</v>
      </c>
    </row>
    <row r="198" spans="1:13" x14ac:dyDescent="0.3">
      <c r="A198">
        <v>10</v>
      </c>
      <c r="B198" s="1">
        <v>46027</v>
      </c>
      <c r="C198">
        <v>102</v>
      </c>
      <c r="D198" t="s">
        <v>27</v>
      </c>
      <c r="E198" t="s">
        <v>28</v>
      </c>
      <c r="F198">
        <v>205</v>
      </c>
      <c r="G198" t="s">
        <v>23</v>
      </c>
      <c r="H198" s="39" t="s">
        <v>16</v>
      </c>
      <c r="I198">
        <v>4</v>
      </c>
      <c r="J198">
        <v>2134000</v>
      </c>
      <c r="K198">
        <v>1450000</v>
      </c>
      <c r="L198">
        <v>8536000</v>
      </c>
      <c r="M198">
        <v>2736000</v>
      </c>
    </row>
    <row r="199" spans="1:13" x14ac:dyDescent="0.3">
      <c r="A199">
        <v>17</v>
      </c>
      <c r="B199" s="1">
        <v>46030</v>
      </c>
      <c r="C199">
        <v>102</v>
      </c>
      <c r="D199" t="s">
        <v>27</v>
      </c>
      <c r="E199" t="s">
        <v>28</v>
      </c>
      <c r="F199">
        <v>203</v>
      </c>
      <c r="G199" t="s">
        <v>20</v>
      </c>
      <c r="H199" s="39" t="s">
        <v>21</v>
      </c>
      <c r="I199">
        <v>1</v>
      </c>
      <c r="J199">
        <v>902500</v>
      </c>
      <c r="K199">
        <v>620000</v>
      </c>
      <c r="L199">
        <v>902500</v>
      </c>
      <c r="M199">
        <v>282500</v>
      </c>
    </row>
    <row r="200" spans="1:13" x14ac:dyDescent="0.3">
      <c r="A200">
        <v>23</v>
      </c>
      <c r="B200" s="1">
        <v>46031</v>
      </c>
      <c r="C200">
        <v>102</v>
      </c>
      <c r="D200" t="s">
        <v>27</v>
      </c>
      <c r="E200" t="s">
        <v>28</v>
      </c>
      <c r="F200">
        <v>205</v>
      </c>
      <c r="G200" t="s">
        <v>23</v>
      </c>
      <c r="H200" s="39" t="s">
        <v>16</v>
      </c>
      <c r="I200">
        <v>4</v>
      </c>
      <c r="J200">
        <v>2200000</v>
      </c>
      <c r="K200">
        <v>1450000</v>
      </c>
      <c r="L200">
        <v>8800000</v>
      </c>
      <c r="M200">
        <v>3000000</v>
      </c>
    </row>
    <row r="201" spans="1:13" x14ac:dyDescent="0.3">
      <c r="A201">
        <v>24</v>
      </c>
      <c r="B201" s="1">
        <v>46032</v>
      </c>
      <c r="C201">
        <v>102</v>
      </c>
      <c r="D201" t="s">
        <v>27</v>
      </c>
      <c r="E201" t="s">
        <v>28</v>
      </c>
      <c r="F201">
        <v>205</v>
      </c>
      <c r="G201" t="s">
        <v>23</v>
      </c>
      <c r="H201" s="39" t="s">
        <v>16</v>
      </c>
      <c r="I201">
        <v>1</v>
      </c>
      <c r="J201">
        <v>2024000</v>
      </c>
      <c r="K201">
        <v>1450000</v>
      </c>
      <c r="L201">
        <v>2024000</v>
      </c>
      <c r="M201">
        <v>574000</v>
      </c>
    </row>
    <row r="202" spans="1:13" x14ac:dyDescent="0.3">
      <c r="A202">
        <v>28</v>
      </c>
      <c r="B202" s="1">
        <v>46033</v>
      </c>
      <c r="C202">
        <v>102</v>
      </c>
      <c r="D202" t="s">
        <v>27</v>
      </c>
      <c r="E202" t="s">
        <v>28</v>
      </c>
      <c r="F202">
        <v>201</v>
      </c>
      <c r="G202" t="s">
        <v>17</v>
      </c>
      <c r="H202" s="39" t="s">
        <v>18</v>
      </c>
      <c r="I202">
        <v>3</v>
      </c>
      <c r="J202">
        <v>8075000</v>
      </c>
      <c r="K202">
        <v>6800000</v>
      </c>
      <c r="L202">
        <v>24225000</v>
      </c>
      <c r="M202">
        <v>3825000</v>
      </c>
    </row>
    <row r="203" spans="1:13" x14ac:dyDescent="0.3">
      <c r="A203">
        <v>59</v>
      </c>
      <c r="B203" s="1">
        <v>46043</v>
      </c>
      <c r="C203">
        <v>102</v>
      </c>
      <c r="D203" t="s">
        <v>27</v>
      </c>
      <c r="E203" t="s">
        <v>28</v>
      </c>
      <c r="F203">
        <v>202</v>
      </c>
      <c r="G203" t="s">
        <v>19</v>
      </c>
      <c r="H203" s="39" t="s">
        <v>18</v>
      </c>
      <c r="I203">
        <v>4</v>
      </c>
      <c r="J203">
        <v>2800000</v>
      </c>
      <c r="K203">
        <v>2100000</v>
      </c>
      <c r="L203">
        <v>11200000</v>
      </c>
      <c r="M203">
        <v>2800000</v>
      </c>
    </row>
    <row r="204" spans="1:13" x14ac:dyDescent="0.3">
      <c r="A204">
        <v>61</v>
      </c>
      <c r="B204" s="1">
        <v>46044</v>
      </c>
      <c r="C204">
        <v>102</v>
      </c>
      <c r="D204" t="s">
        <v>27</v>
      </c>
      <c r="E204" t="s">
        <v>28</v>
      </c>
      <c r="F204">
        <v>202</v>
      </c>
      <c r="G204" t="s">
        <v>19</v>
      </c>
      <c r="H204" s="39" t="s">
        <v>18</v>
      </c>
      <c r="I204">
        <v>5</v>
      </c>
      <c r="J204">
        <v>2576000</v>
      </c>
      <c r="K204">
        <v>2100000</v>
      </c>
      <c r="L204">
        <v>12880000</v>
      </c>
      <c r="M204">
        <v>2380000</v>
      </c>
    </row>
    <row r="205" spans="1:13" x14ac:dyDescent="0.3">
      <c r="A205">
        <v>67</v>
      </c>
      <c r="B205" s="1">
        <v>46045</v>
      </c>
      <c r="C205">
        <v>102</v>
      </c>
      <c r="D205" t="s">
        <v>27</v>
      </c>
      <c r="E205" t="s">
        <v>28</v>
      </c>
      <c r="F205">
        <v>204</v>
      </c>
      <c r="G205" t="s">
        <v>22</v>
      </c>
      <c r="H205" s="39" t="s">
        <v>21</v>
      </c>
      <c r="I205">
        <v>3</v>
      </c>
      <c r="J205">
        <v>533500</v>
      </c>
      <c r="K205">
        <v>330000</v>
      </c>
      <c r="L205">
        <v>1600500</v>
      </c>
      <c r="M205">
        <v>610500</v>
      </c>
    </row>
    <row r="206" spans="1:13" x14ac:dyDescent="0.3">
      <c r="A206">
        <v>76</v>
      </c>
      <c r="B206" s="1">
        <v>46048</v>
      </c>
      <c r="C206">
        <v>102</v>
      </c>
      <c r="D206" t="s">
        <v>27</v>
      </c>
      <c r="E206" t="s">
        <v>28</v>
      </c>
      <c r="F206">
        <v>202</v>
      </c>
      <c r="G206" t="s">
        <v>19</v>
      </c>
      <c r="H206" s="39" t="s">
        <v>18</v>
      </c>
      <c r="I206">
        <v>1</v>
      </c>
      <c r="J206">
        <v>2800000</v>
      </c>
      <c r="K206">
        <v>2100000</v>
      </c>
      <c r="L206">
        <v>2800000</v>
      </c>
      <c r="M206">
        <v>700000</v>
      </c>
    </row>
    <row r="207" spans="1:13" x14ac:dyDescent="0.3">
      <c r="A207">
        <v>79</v>
      </c>
      <c r="B207" s="1">
        <v>46049</v>
      </c>
      <c r="C207">
        <v>102</v>
      </c>
      <c r="D207" t="s">
        <v>27</v>
      </c>
      <c r="E207" t="s">
        <v>28</v>
      </c>
      <c r="F207">
        <v>206</v>
      </c>
      <c r="G207" t="s">
        <v>15</v>
      </c>
      <c r="H207" s="39" t="s">
        <v>16</v>
      </c>
      <c r="I207">
        <v>4</v>
      </c>
      <c r="J207">
        <v>3395000</v>
      </c>
      <c r="K207">
        <v>2350000</v>
      </c>
      <c r="L207">
        <v>13580000</v>
      </c>
      <c r="M207">
        <v>4180000</v>
      </c>
    </row>
    <row r="208" spans="1:13" x14ac:dyDescent="0.3">
      <c r="A208">
        <v>83</v>
      </c>
      <c r="B208" s="1">
        <v>46051</v>
      </c>
      <c r="C208">
        <v>102</v>
      </c>
      <c r="D208" t="s">
        <v>27</v>
      </c>
      <c r="E208" t="s">
        <v>28</v>
      </c>
      <c r="F208">
        <v>206</v>
      </c>
      <c r="G208" t="s">
        <v>15</v>
      </c>
      <c r="H208" s="39" t="s">
        <v>16</v>
      </c>
      <c r="I208">
        <v>1</v>
      </c>
      <c r="J208">
        <v>3325000</v>
      </c>
      <c r="K208">
        <v>2350000</v>
      </c>
      <c r="L208">
        <v>3325000</v>
      </c>
      <c r="M208">
        <v>975000</v>
      </c>
    </row>
    <row r="209" spans="1:13" x14ac:dyDescent="0.3">
      <c r="A209">
        <v>95</v>
      </c>
      <c r="B209" s="1">
        <v>46054</v>
      </c>
      <c r="C209">
        <v>102</v>
      </c>
      <c r="D209" t="s">
        <v>27</v>
      </c>
      <c r="E209" t="s">
        <v>28</v>
      </c>
      <c r="F209">
        <v>206</v>
      </c>
      <c r="G209" t="s">
        <v>15</v>
      </c>
      <c r="H209" s="39" t="s">
        <v>16</v>
      </c>
      <c r="I209">
        <v>1</v>
      </c>
      <c r="J209">
        <v>3500000</v>
      </c>
      <c r="K209">
        <v>2350000</v>
      </c>
      <c r="L209">
        <v>3500000</v>
      </c>
      <c r="M209">
        <v>1150000</v>
      </c>
    </row>
    <row r="210" spans="1:13" x14ac:dyDescent="0.3">
      <c r="A210">
        <v>99</v>
      </c>
      <c r="B210" s="1">
        <v>46056</v>
      </c>
      <c r="C210">
        <v>102</v>
      </c>
      <c r="D210" t="s">
        <v>27</v>
      </c>
      <c r="E210" t="s">
        <v>28</v>
      </c>
      <c r="F210">
        <v>206</v>
      </c>
      <c r="G210" t="s">
        <v>15</v>
      </c>
      <c r="H210" s="39" t="s">
        <v>16</v>
      </c>
      <c r="I210">
        <v>5</v>
      </c>
      <c r="J210">
        <v>3500000</v>
      </c>
      <c r="K210">
        <v>2350000</v>
      </c>
      <c r="L210">
        <v>17500000</v>
      </c>
      <c r="M210">
        <v>5750000</v>
      </c>
    </row>
    <row r="211" spans="1:13" x14ac:dyDescent="0.3">
      <c r="A211">
        <v>101</v>
      </c>
      <c r="B211" s="1">
        <v>46056</v>
      </c>
      <c r="C211">
        <v>102</v>
      </c>
      <c r="D211" t="s">
        <v>27</v>
      </c>
      <c r="E211" t="s">
        <v>28</v>
      </c>
      <c r="F211">
        <v>203</v>
      </c>
      <c r="G211" t="s">
        <v>20</v>
      </c>
      <c r="H211" s="39" t="s">
        <v>21</v>
      </c>
      <c r="I211">
        <v>1</v>
      </c>
      <c r="J211">
        <v>902500</v>
      </c>
      <c r="K211">
        <v>620000</v>
      </c>
      <c r="L211">
        <v>902500</v>
      </c>
      <c r="M211">
        <v>282500</v>
      </c>
    </row>
    <row r="212" spans="1:13" x14ac:dyDescent="0.3">
      <c r="A212">
        <v>103</v>
      </c>
      <c r="B212" s="1">
        <v>46057</v>
      </c>
      <c r="C212">
        <v>102</v>
      </c>
      <c r="D212" t="s">
        <v>27</v>
      </c>
      <c r="E212" t="s">
        <v>28</v>
      </c>
      <c r="F212">
        <v>203</v>
      </c>
      <c r="G212" t="s">
        <v>20</v>
      </c>
      <c r="H212" s="39" t="s">
        <v>21</v>
      </c>
      <c r="I212">
        <v>3</v>
      </c>
      <c r="J212">
        <v>902500</v>
      </c>
      <c r="K212">
        <v>620000</v>
      </c>
      <c r="L212">
        <v>2707500</v>
      </c>
      <c r="M212">
        <v>847500</v>
      </c>
    </row>
    <row r="213" spans="1:13" x14ac:dyDescent="0.3">
      <c r="A213">
        <v>109</v>
      </c>
      <c r="B213" s="1">
        <v>46059</v>
      </c>
      <c r="C213">
        <v>102</v>
      </c>
      <c r="D213" t="s">
        <v>27</v>
      </c>
      <c r="E213" t="s">
        <v>28</v>
      </c>
      <c r="F213">
        <v>206</v>
      </c>
      <c r="G213" t="s">
        <v>15</v>
      </c>
      <c r="H213" s="39" t="s">
        <v>16</v>
      </c>
      <c r="I213">
        <v>4</v>
      </c>
      <c r="J213">
        <v>3220000</v>
      </c>
      <c r="K213">
        <v>2350000</v>
      </c>
      <c r="L213">
        <v>12880000</v>
      </c>
      <c r="M213">
        <v>3480000</v>
      </c>
    </row>
    <row r="214" spans="1:13" x14ac:dyDescent="0.3">
      <c r="A214">
        <v>113</v>
      </c>
      <c r="B214" s="1">
        <v>46060</v>
      </c>
      <c r="C214">
        <v>102</v>
      </c>
      <c r="D214" t="s">
        <v>27</v>
      </c>
      <c r="E214" t="s">
        <v>28</v>
      </c>
      <c r="F214">
        <v>203</v>
      </c>
      <c r="G214" t="s">
        <v>20</v>
      </c>
      <c r="H214" s="39" t="s">
        <v>21</v>
      </c>
      <c r="I214">
        <v>3</v>
      </c>
      <c r="J214">
        <v>874000</v>
      </c>
      <c r="K214">
        <v>620000</v>
      </c>
      <c r="L214">
        <v>2622000</v>
      </c>
      <c r="M214">
        <v>762000</v>
      </c>
    </row>
    <row r="215" spans="1:13" x14ac:dyDescent="0.3">
      <c r="A215">
        <v>118</v>
      </c>
      <c r="B215" s="1">
        <v>46062</v>
      </c>
      <c r="C215">
        <v>102</v>
      </c>
      <c r="D215" t="s">
        <v>27</v>
      </c>
      <c r="E215" t="s">
        <v>28</v>
      </c>
      <c r="F215">
        <v>202</v>
      </c>
      <c r="G215" t="s">
        <v>19</v>
      </c>
      <c r="H215" s="39" t="s">
        <v>18</v>
      </c>
      <c r="I215">
        <v>2</v>
      </c>
      <c r="J215">
        <v>2576000</v>
      </c>
      <c r="K215">
        <v>2100000</v>
      </c>
      <c r="L215">
        <v>5152000</v>
      </c>
      <c r="M215">
        <v>952000</v>
      </c>
    </row>
    <row r="216" spans="1:13" x14ac:dyDescent="0.3">
      <c r="A216">
        <v>126</v>
      </c>
      <c r="B216" s="1">
        <v>46065</v>
      </c>
      <c r="C216">
        <v>102</v>
      </c>
      <c r="D216" t="s">
        <v>27</v>
      </c>
      <c r="E216" t="s">
        <v>28</v>
      </c>
      <c r="F216">
        <v>202</v>
      </c>
      <c r="G216" t="s">
        <v>19</v>
      </c>
      <c r="H216" s="39" t="s">
        <v>18</v>
      </c>
      <c r="I216">
        <v>5</v>
      </c>
      <c r="J216">
        <v>2800000</v>
      </c>
      <c r="K216">
        <v>2100000</v>
      </c>
      <c r="L216">
        <v>14000000</v>
      </c>
      <c r="M216">
        <v>3500000</v>
      </c>
    </row>
    <row r="217" spans="1:13" x14ac:dyDescent="0.3">
      <c r="A217">
        <v>131</v>
      </c>
      <c r="B217" s="1">
        <v>46066</v>
      </c>
      <c r="C217">
        <v>102</v>
      </c>
      <c r="D217" t="s">
        <v>27</v>
      </c>
      <c r="E217" t="s">
        <v>28</v>
      </c>
      <c r="F217">
        <v>206</v>
      </c>
      <c r="G217" t="s">
        <v>15</v>
      </c>
      <c r="H217" s="39" t="s">
        <v>16</v>
      </c>
      <c r="I217">
        <v>2</v>
      </c>
      <c r="J217">
        <v>3500000</v>
      </c>
      <c r="K217">
        <v>2350000</v>
      </c>
      <c r="L217">
        <v>7000000</v>
      </c>
      <c r="M217">
        <v>2300000</v>
      </c>
    </row>
    <row r="218" spans="1:13" x14ac:dyDescent="0.3">
      <c r="A218">
        <v>144</v>
      </c>
      <c r="B218" s="1">
        <v>46070</v>
      </c>
      <c r="C218">
        <v>102</v>
      </c>
      <c r="D218" t="s">
        <v>27</v>
      </c>
      <c r="E218" t="s">
        <v>28</v>
      </c>
      <c r="F218">
        <v>203</v>
      </c>
      <c r="G218" t="s">
        <v>20</v>
      </c>
      <c r="H218" s="39" t="s">
        <v>21</v>
      </c>
      <c r="I218">
        <v>3</v>
      </c>
      <c r="J218">
        <v>950000</v>
      </c>
      <c r="K218">
        <v>620000</v>
      </c>
      <c r="L218">
        <v>2850000</v>
      </c>
      <c r="M218">
        <v>990000</v>
      </c>
    </row>
    <row r="219" spans="1:13" x14ac:dyDescent="0.3">
      <c r="A219">
        <v>148</v>
      </c>
      <c r="B219" s="1">
        <v>46071</v>
      </c>
      <c r="C219">
        <v>102</v>
      </c>
      <c r="D219" t="s">
        <v>27</v>
      </c>
      <c r="E219" t="s">
        <v>28</v>
      </c>
      <c r="F219">
        <v>202</v>
      </c>
      <c r="G219" t="s">
        <v>19</v>
      </c>
      <c r="H219" s="39" t="s">
        <v>18</v>
      </c>
      <c r="I219">
        <v>4</v>
      </c>
      <c r="J219">
        <v>2576000</v>
      </c>
      <c r="K219">
        <v>2100000</v>
      </c>
      <c r="L219">
        <v>10304000</v>
      </c>
      <c r="M219">
        <v>1904000</v>
      </c>
    </row>
    <row r="220" spans="1:13" x14ac:dyDescent="0.3">
      <c r="A220">
        <v>167</v>
      </c>
      <c r="B220" s="1">
        <v>46077</v>
      </c>
      <c r="C220">
        <v>102</v>
      </c>
      <c r="D220" t="s">
        <v>27</v>
      </c>
      <c r="E220" t="s">
        <v>28</v>
      </c>
      <c r="F220">
        <v>204</v>
      </c>
      <c r="G220" t="s">
        <v>22</v>
      </c>
      <c r="H220" s="39" t="s">
        <v>21</v>
      </c>
      <c r="I220">
        <v>1</v>
      </c>
      <c r="J220">
        <v>506000</v>
      </c>
      <c r="K220">
        <v>330000</v>
      </c>
      <c r="L220">
        <v>506000</v>
      </c>
      <c r="M220">
        <v>176000</v>
      </c>
    </row>
    <row r="221" spans="1:13" x14ac:dyDescent="0.3">
      <c r="A221">
        <v>193</v>
      </c>
      <c r="B221" s="1">
        <v>46085</v>
      </c>
      <c r="C221">
        <v>102</v>
      </c>
      <c r="D221" t="s">
        <v>27</v>
      </c>
      <c r="E221" t="s">
        <v>28</v>
      </c>
      <c r="F221">
        <v>202</v>
      </c>
      <c r="G221" t="s">
        <v>19</v>
      </c>
      <c r="H221" s="39" t="s">
        <v>18</v>
      </c>
      <c r="I221">
        <v>3</v>
      </c>
      <c r="J221">
        <v>2800000</v>
      </c>
      <c r="K221">
        <v>2100000</v>
      </c>
      <c r="L221">
        <v>8400000</v>
      </c>
      <c r="M221">
        <v>2100000</v>
      </c>
    </row>
    <row r="222" spans="1:13" x14ac:dyDescent="0.3">
      <c r="A222">
        <v>205</v>
      </c>
      <c r="B222" s="1">
        <v>46090</v>
      </c>
      <c r="C222">
        <v>102</v>
      </c>
      <c r="D222" t="s">
        <v>27</v>
      </c>
      <c r="E222" t="s">
        <v>28</v>
      </c>
      <c r="F222">
        <v>205</v>
      </c>
      <c r="G222" t="s">
        <v>23</v>
      </c>
      <c r="H222" s="39" t="s">
        <v>16</v>
      </c>
      <c r="I222">
        <v>4</v>
      </c>
      <c r="J222">
        <v>2200000</v>
      </c>
      <c r="K222">
        <v>1450000</v>
      </c>
      <c r="L222">
        <v>8800000</v>
      </c>
      <c r="M222">
        <v>3000000</v>
      </c>
    </row>
    <row r="223" spans="1:13" x14ac:dyDescent="0.3">
      <c r="A223">
        <v>206</v>
      </c>
      <c r="B223" s="1">
        <v>46090</v>
      </c>
      <c r="C223">
        <v>102</v>
      </c>
      <c r="D223" t="s">
        <v>27</v>
      </c>
      <c r="E223" t="s">
        <v>28</v>
      </c>
      <c r="F223">
        <v>201</v>
      </c>
      <c r="G223" t="s">
        <v>17</v>
      </c>
      <c r="H223" s="39" t="s">
        <v>18</v>
      </c>
      <c r="I223">
        <v>2</v>
      </c>
      <c r="J223">
        <v>8500000</v>
      </c>
      <c r="K223">
        <v>6800000</v>
      </c>
      <c r="L223">
        <v>17000000</v>
      </c>
      <c r="M223">
        <v>3400000</v>
      </c>
    </row>
    <row r="224" spans="1:13" x14ac:dyDescent="0.3">
      <c r="A224">
        <v>226</v>
      </c>
      <c r="B224" s="1">
        <v>46097</v>
      </c>
      <c r="C224">
        <v>102</v>
      </c>
      <c r="D224" t="s">
        <v>27</v>
      </c>
      <c r="E224" t="s">
        <v>28</v>
      </c>
      <c r="F224">
        <v>202</v>
      </c>
      <c r="G224" t="s">
        <v>19</v>
      </c>
      <c r="H224" s="39" t="s">
        <v>18</v>
      </c>
      <c r="I224">
        <v>1</v>
      </c>
      <c r="J224">
        <v>2660000</v>
      </c>
      <c r="K224">
        <v>2100000</v>
      </c>
      <c r="L224">
        <v>2660000</v>
      </c>
      <c r="M224">
        <v>560000</v>
      </c>
    </row>
    <row r="225" spans="1:13" x14ac:dyDescent="0.3">
      <c r="A225">
        <v>230</v>
      </c>
      <c r="B225" s="1">
        <v>46099</v>
      </c>
      <c r="C225">
        <v>102</v>
      </c>
      <c r="D225" t="s">
        <v>27</v>
      </c>
      <c r="E225" t="s">
        <v>28</v>
      </c>
      <c r="F225">
        <v>203</v>
      </c>
      <c r="G225" t="s">
        <v>20</v>
      </c>
      <c r="H225" s="39" t="s">
        <v>21</v>
      </c>
      <c r="I225">
        <v>3</v>
      </c>
      <c r="J225">
        <v>902500</v>
      </c>
      <c r="K225">
        <v>620000</v>
      </c>
      <c r="L225">
        <v>2707500</v>
      </c>
      <c r="M225">
        <v>847500</v>
      </c>
    </row>
    <row r="226" spans="1:13" x14ac:dyDescent="0.3">
      <c r="A226">
        <v>239</v>
      </c>
      <c r="B226" s="1">
        <v>46102</v>
      </c>
      <c r="C226">
        <v>102</v>
      </c>
      <c r="D226" t="s">
        <v>27</v>
      </c>
      <c r="E226" t="s">
        <v>28</v>
      </c>
      <c r="F226">
        <v>205</v>
      </c>
      <c r="G226" t="s">
        <v>23</v>
      </c>
      <c r="H226" s="39" t="s">
        <v>16</v>
      </c>
      <c r="I226">
        <v>2</v>
      </c>
      <c r="J226">
        <v>2200000</v>
      </c>
      <c r="K226">
        <v>1450000</v>
      </c>
      <c r="L226">
        <v>4400000</v>
      </c>
      <c r="M226">
        <v>1500000</v>
      </c>
    </row>
    <row r="227" spans="1:13" x14ac:dyDescent="0.3">
      <c r="A227">
        <v>256</v>
      </c>
      <c r="B227" s="1">
        <v>46108</v>
      </c>
      <c r="C227">
        <v>102</v>
      </c>
      <c r="D227" t="s">
        <v>27</v>
      </c>
      <c r="E227" t="s">
        <v>28</v>
      </c>
      <c r="F227">
        <v>202</v>
      </c>
      <c r="G227" t="s">
        <v>19</v>
      </c>
      <c r="H227" s="39" t="s">
        <v>18</v>
      </c>
      <c r="I227">
        <v>5</v>
      </c>
      <c r="J227">
        <v>2576000</v>
      </c>
      <c r="K227">
        <v>2100000</v>
      </c>
      <c r="L227">
        <v>12880000</v>
      </c>
      <c r="M227">
        <v>2380000</v>
      </c>
    </row>
    <row r="228" spans="1:13" x14ac:dyDescent="0.3">
      <c r="A228">
        <v>258</v>
      </c>
      <c r="B228" s="1">
        <v>46109</v>
      </c>
      <c r="C228">
        <v>102</v>
      </c>
      <c r="D228" t="s">
        <v>27</v>
      </c>
      <c r="E228" t="s">
        <v>28</v>
      </c>
      <c r="F228">
        <v>203</v>
      </c>
      <c r="G228" t="s">
        <v>20</v>
      </c>
      <c r="H228" s="39" t="s">
        <v>21</v>
      </c>
      <c r="I228">
        <v>5</v>
      </c>
      <c r="J228">
        <v>902500</v>
      </c>
      <c r="K228">
        <v>620000</v>
      </c>
      <c r="L228">
        <v>4512500</v>
      </c>
      <c r="M228">
        <v>1412500</v>
      </c>
    </row>
    <row r="229" spans="1:13" x14ac:dyDescent="0.3">
      <c r="A229">
        <v>260</v>
      </c>
      <c r="B229" s="1">
        <v>46110</v>
      </c>
      <c r="C229">
        <v>102</v>
      </c>
      <c r="D229" t="s">
        <v>27</v>
      </c>
      <c r="E229" t="s">
        <v>28</v>
      </c>
      <c r="F229">
        <v>206</v>
      </c>
      <c r="G229" t="s">
        <v>15</v>
      </c>
      <c r="H229" s="39" t="s">
        <v>16</v>
      </c>
      <c r="I229">
        <v>5</v>
      </c>
      <c r="J229">
        <v>3220000</v>
      </c>
      <c r="K229">
        <v>2350000</v>
      </c>
      <c r="L229">
        <v>16100000</v>
      </c>
      <c r="M229">
        <v>4350000</v>
      </c>
    </row>
    <row r="230" spans="1:13" x14ac:dyDescent="0.3">
      <c r="A230">
        <v>276</v>
      </c>
      <c r="B230" s="1">
        <v>46115</v>
      </c>
      <c r="C230">
        <v>102</v>
      </c>
      <c r="D230" t="s">
        <v>27</v>
      </c>
      <c r="E230" t="s">
        <v>28</v>
      </c>
      <c r="F230">
        <v>205</v>
      </c>
      <c r="G230" t="s">
        <v>23</v>
      </c>
      <c r="H230" s="39" t="s">
        <v>16</v>
      </c>
      <c r="I230">
        <v>3</v>
      </c>
      <c r="J230">
        <v>2090000</v>
      </c>
      <c r="K230">
        <v>1450000</v>
      </c>
      <c r="L230">
        <v>6270000</v>
      </c>
      <c r="M230">
        <v>1920000</v>
      </c>
    </row>
    <row r="231" spans="1:13" x14ac:dyDescent="0.3">
      <c r="A231">
        <v>291</v>
      </c>
      <c r="B231" s="1">
        <v>46119</v>
      </c>
      <c r="C231">
        <v>102</v>
      </c>
      <c r="D231" t="s">
        <v>27</v>
      </c>
      <c r="E231" t="s">
        <v>28</v>
      </c>
      <c r="F231">
        <v>204</v>
      </c>
      <c r="G231" t="s">
        <v>22</v>
      </c>
      <c r="H231" s="39" t="s">
        <v>21</v>
      </c>
      <c r="I231">
        <v>3</v>
      </c>
      <c r="J231">
        <v>506000</v>
      </c>
      <c r="K231">
        <v>330000</v>
      </c>
      <c r="L231">
        <v>1518000</v>
      </c>
      <c r="M231">
        <v>528000</v>
      </c>
    </row>
    <row r="232" spans="1:13" x14ac:dyDescent="0.3">
      <c r="A232">
        <v>311</v>
      </c>
      <c r="B232" s="1">
        <v>46127</v>
      </c>
      <c r="C232">
        <v>102</v>
      </c>
      <c r="D232" t="s">
        <v>27</v>
      </c>
      <c r="E232" t="s">
        <v>28</v>
      </c>
      <c r="F232">
        <v>206</v>
      </c>
      <c r="G232" t="s">
        <v>15</v>
      </c>
      <c r="H232" s="39" t="s">
        <v>16</v>
      </c>
      <c r="I232">
        <v>5</v>
      </c>
      <c r="J232">
        <v>3325000</v>
      </c>
      <c r="K232">
        <v>2350000</v>
      </c>
      <c r="L232">
        <v>16625000</v>
      </c>
      <c r="M232">
        <v>4875000</v>
      </c>
    </row>
    <row r="233" spans="1:13" x14ac:dyDescent="0.3">
      <c r="A233">
        <v>314</v>
      </c>
      <c r="B233" s="1">
        <v>46128</v>
      </c>
      <c r="C233">
        <v>102</v>
      </c>
      <c r="D233" t="s">
        <v>27</v>
      </c>
      <c r="E233" t="s">
        <v>28</v>
      </c>
      <c r="F233">
        <v>201</v>
      </c>
      <c r="G233" t="s">
        <v>17</v>
      </c>
      <c r="H233" s="39" t="s">
        <v>18</v>
      </c>
      <c r="I233">
        <v>2</v>
      </c>
      <c r="J233">
        <v>8500000</v>
      </c>
      <c r="K233">
        <v>6800000</v>
      </c>
      <c r="L233">
        <v>17000000</v>
      </c>
      <c r="M233">
        <v>3400000</v>
      </c>
    </row>
    <row r="234" spans="1:13" x14ac:dyDescent="0.3">
      <c r="A234">
        <v>325</v>
      </c>
      <c r="B234" s="1">
        <v>46132</v>
      </c>
      <c r="C234">
        <v>102</v>
      </c>
      <c r="D234" t="s">
        <v>27</v>
      </c>
      <c r="E234" t="s">
        <v>28</v>
      </c>
      <c r="F234">
        <v>203</v>
      </c>
      <c r="G234" t="s">
        <v>20</v>
      </c>
      <c r="H234" s="39" t="s">
        <v>21</v>
      </c>
      <c r="I234">
        <v>5</v>
      </c>
      <c r="J234">
        <v>950000</v>
      </c>
      <c r="K234">
        <v>620000</v>
      </c>
      <c r="L234">
        <v>4750000</v>
      </c>
      <c r="M234">
        <v>1650000</v>
      </c>
    </row>
    <row r="235" spans="1:13" x14ac:dyDescent="0.3">
      <c r="A235">
        <v>331</v>
      </c>
      <c r="B235" s="1">
        <v>46134</v>
      </c>
      <c r="C235">
        <v>102</v>
      </c>
      <c r="D235" t="s">
        <v>27</v>
      </c>
      <c r="E235" t="s">
        <v>28</v>
      </c>
      <c r="F235">
        <v>202</v>
      </c>
      <c r="G235" t="s">
        <v>19</v>
      </c>
      <c r="H235" s="39" t="s">
        <v>18</v>
      </c>
      <c r="I235">
        <v>3</v>
      </c>
      <c r="J235">
        <v>2716000</v>
      </c>
      <c r="K235">
        <v>2100000</v>
      </c>
      <c r="L235">
        <v>8148000</v>
      </c>
      <c r="M235">
        <v>1848000</v>
      </c>
    </row>
    <row r="236" spans="1:13" x14ac:dyDescent="0.3">
      <c r="A236">
        <v>334</v>
      </c>
      <c r="B236" s="1">
        <v>46135</v>
      </c>
      <c r="C236">
        <v>102</v>
      </c>
      <c r="D236" t="s">
        <v>27</v>
      </c>
      <c r="E236" t="s">
        <v>28</v>
      </c>
      <c r="F236">
        <v>201</v>
      </c>
      <c r="G236" t="s">
        <v>17</v>
      </c>
      <c r="H236" s="39" t="s">
        <v>18</v>
      </c>
      <c r="I236">
        <v>5</v>
      </c>
      <c r="J236">
        <v>7820000</v>
      </c>
      <c r="K236">
        <v>6800000</v>
      </c>
      <c r="L236">
        <v>39100000</v>
      </c>
      <c r="M236">
        <v>5100000</v>
      </c>
    </row>
    <row r="237" spans="1:13" x14ac:dyDescent="0.3">
      <c r="A237">
        <v>342</v>
      </c>
      <c r="B237" s="1">
        <v>46137</v>
      </c>
      <c r="C237">
        <v>102</v>
      </c>
      <c r="D237" t="s">
        <v>27</v>
      </c>
      <c r="E237" t="s">
        <v>28</v>
      </c>
      <c r="F237">
        <v>203</v>
      </c>
      <c r="G237" t="s">
        <v>20</v>
      </c>
      <c r="H237" s="39" t="s">
        <v>21</v>
      </c>
      <c r="I237">
        <v>1</v>
      </c>
      <c r="J237">
        <v>950000</v>
      </c>
      <c r="K237">
        <v>620000</v>
      </c>
      <c r="L237">
        <v>950000</v>
      </c>
      <c r="M237">
        <v>330000</v>
      </c>
    </row>
    <row r="238" spans="1:13" x14ac:dyDescent="0.3">
      <c r="A238">
        <v>348</v>
      </c>
      <c r="B238" s="1">
        <v>46140</v>
      </c>
      <c r="C238">
        <v>102</v>
      </c>
      <c r="D238" t="s">
        <v>27</v>
      </c>
      <c r="E238" t="s">
        <v>28</v>
      </c>
      <c r="F238">
        <v>206</v>
      </c>
      <c r="G238" t="s">
        <v>15</v>
      </c>
      <c r="H238" s="39" t="s">
        <v>16</v>
      </c>
      <c r="I238">
        <v>3</v>
      </c>
      <c r="J238">
        <v>3220000</v>
      </c>
      <c r="K238">
        <v>2350000</v>
      </c>
      <c r="L238">
        <v>9660000</v>
      </c>
      <c r="M238">
        <v>2610000</v>
      </c>
    </row>
    <row r="239" spans="1:13" x14ac:dyDescent="0.3">
      <c r="A239">
        <v>352</v>
      </c>
      <c r="B239" s="1">
        <v>46141</v>
      </c>
      <c r="C239">
        <v>102</v>
      </c>
      <c r="D239" t="s">
        <v>27</v>
      </c>
      <c r="E239" t="s">
        <v>28</v>
      </c>
      <c r="F239">
        <v>201</v>
      </c>
      <c r="G239" t="s">
        <v>17</v>
      </c>
      <c r="H239" s="39" t="s">
        <v>18</v>
      </c>
      <c r="I239">
        <v>4</v>
      </c>
      <c r="J239">
        <v>8500000</v>
      </c>
      <c r="K239">
        <v>6800000</v>
      </c>
      <c r="L239">
        <v>34000000</v>
      </c>
      <c r="M239">
        <v>6800000</v>
      </c>
    </row>
    <row r="240" spans="1:13" x14ac:dyDescent="0.3">
      <c r="A240">
        <v>353</v>
      </c>
      <c r="B240" s="1">
        <v>46142</v>
      </c>
      <c r="C240">
        <v>102</v>
      </c>
      <c r="D240" t="s">
        <v>27</v>
      </c>
      <c r="E240" t="s">
        <v>28</v>
      </c>
      <c r="F240">
        <v>201</v>
      </c>
      <c r="G240" t="s">
        <v>17</v>
      </c>
      <c r="H240" s="39" t="s">
        <v>18</v>
      </c>
      <c r="I240">
        <v>5</v>
      </c>
      <c r="J240">
        <v>8500000</v>
      </c>
      <c r="K240">
        <v>6800000</v>
      </c>
      <c r="L240">
        <v>42500000</v>
      </c>
      <c r="M240">
        <v>8500000</v>
      </c>
    </row>
    <row r="241" spans="1:13" x14ac:dyDescent="0.3">
      <c r="A241">
        <v>355</v>
      </c>
      <c r="B241" s="1">
        <v>46143</v>
      </c>
      <c r="C241">
        <v>102</v>
      </c>
      <c r="D241" t="s">
        <v>27</v>
      </c>
      <c r="E241" t="s">
        <v>28</v>
      </c>
      <c r="F241">
        <v>201</v>
      </c>
      <c r="G241" t="s">
        <v>17</v>
      </c>
      <c r="H241" s="39" t="s">
        <v>18</v>
      </c>
      <c r="I241">
        <v>4</v>
      </c>
      <c r="J241">
        <v>8075000</v>
      </c>
      <c r="K241">
        <v>6800000</v>
      </c>
      <c r="L241">
        <v>32300000</v>
      </c>
      <c r="M241">
        <v>5100000</v>
      </c>
    </row>
    <row r="242" spans="1:13" x14ac:dyDescent="0.3">
      <c r="A242">
        <v>361</v>
      </c>
      <c r="B242" s="1">
        <v>46145</v>
      </c>
      <c r="C242">
        <v>102</v>
      </c>
      <c r="D242" t="s">
        <v>27</v>
      </c>
      <c r="E242" t="s">
        <v>28</v>
      </c>
      <c r="F242">
        <v>206</v>
      </c>
      <c r="G242" t="s">
        <v>15</v>
      </c>
      <c r="H242" s="39" t="s">
        <v>16</v>
      </c>
      <c r="I242">
        <v>3</v>
      </c>
      <c r="J242">
        <v>3395000</v>
      </c>
      <c r="K242">
        <v>2350000</v>
      </c>
      <c r="L242">
        <v>10185000</v>
      </c>
      <c r="M242">
        <v>3135000</v>
      </c>
    </row>
    <row r="243" spans="1:13" x14ac:dyDescent="0.3">
      <c r="A243">
        <v>378</v>
      </c>
      <c r="B243" s="1">
        <v>46151</v>
      </c>
      <c r="C243">
        <v>102</v>
      </c>
      <c r="D243" t="s">
        <v>27</v>
      </c>
      <c r="E243" t="s">
        <v>28</v>
      </c>
      <c r="F243">
        <v>204</v>
      </c>
      <c r="G243" t="s">
        <v>22</v>
      </c>
      <c r="H243" s="39" t="s">
        <v>21</v>
      </c>
      <c r="I243">
        <v>1</v>
      </c>
      <c r="J243">
        <v>533500</v>
      </c>
      <c r="K243">
        <v>330000</v>
      </c>
      <c r="L243">
        <v>533500</v>
      </c>
      <c r="M243">
        <v>203500</v>
      </c>
    </row>
    <row r="244" spans="1:13" x14ac:dyDescent="0.3">
      <c r="A244">
        <v>384</v>
      </c>
      <c r="B244" s="1">
        <v>46153</v>
      </c>
      <c r="C244">
        <v>102</v>
      </c>
      <c r="D244" t="s">
        <v>27</v>
      </c>
      <c r="E244" t="s">
        <v>28</v>
      </c>
      <c r="F244">
        <v>204</v>
      </c>
      <c r="G244" t="s">
        <v>22</v>
      </c>
      <c r="H244" s="39" t="s">
        <v>21</v>
      </c>
      <c r="I244">
        <v>3</v>
      </c>
      <c r="J244">
        <v>533500</v>
      </c>
      <c r="K244">
        <v>330000</v>
      </c>
      <c r="L244">
        <v>1600500</v>
      </c>
      <c r="M244">
        <v>610500</v>
      </c>
    </row>
    <row r="245" spans="1:13" x14ac:dyDescent="0.3">
      <c r="A245">
        <v>395</v>
      </c>
      <c r="B245" s="1">
        <v>46156</v>
      </c>
      <c r="C245">
        <v>102</v>
      </c>
      <c r="D245" t="s">
        <v>27</v>
      </c>
      <c r="E245" t="s">
        <v>28</v>
      </c>
      <c r="F245">
        <v>203</v>
      </c>
      <c r="G245" t="s">
        <v>20</v>
      </c>
      <c r="H245" s="39" t="s">
        <v>21</v>
      </c>
      <c r="I245">
        <v>3</v>
      </c>
      <c r="J245">
        <v>874000</v>
      </c>
      <c r="K245">
        <v>620000</v>
      </c>
      <c r="L245">
        <v>2622000</v>
      </c>
      <c r="M245">
        <v>762000</v>
      </c>
    </row>
    <row r="246" spans="1:13" x14ac:dyDescent="0.3">
      <c r="A246">
        <v>402</v>
      </c>
      <c r="B246" s="1">
        <v>46158</v>
      </c>
      <c r="C246">
        <v>102</v>
      </c>
      <c r="D246" t="s">
        <v>27</v>
      </c>
      <c r="E246" t="s">
        <v>28</v>
      </c>
      <c r="F246">
        <v>203</v>
      </c>
      <c r="G246" t="s">
        <v>20</v>
      </c>
      <c r="H246" s="39" t="s">
        <v>21</v>
      </c>
      <c r="I246">
        <v>4</v>
      </c>
      <c r="J246">
        <v>921500</v>
      </c>
      <c r="K246">
        <v>620000</v>
      </c>
      <c r="L246">
        <v>3686000</v>
      </c>
      <c r="M246">
        <v>1206000</v>
      </c>
    </row>
    <row r="247" spans="1:13" x14ac:dyDescent="0.3">
      <c r="A247">
        <v>409</v>
      </c>
      <c r="B247" s="1">
        <v>46160</v>
      </c>
      <c r="C247">
        <v>102</v>
      </c>
      <c r="D247" t="s">
        <v>27</v>
      </c>
      <c r="E247" t="s">
        <v>28</v>
      </c>
      <c r="F247">
        <v>203</v>
      </c>
      <c r="G247" t="s">
        <v>20</v>
      </c>
      <c r="H247" s="39" t="s">
        <v>21</v>
      </c>
      <c r="I247">
        <v>2</v>
      </c>
      <c r="J247">
        <v>921500</v>
      </c>
      <c r="K247">
        <v>620000</v>
      </c>
      <c r="L247">
        <v>1843000</v>
      </c>
      <c r="M247">
        <v>603000</v>
      </c>
    </row>
    <row r="248" spans="1:13" x14ac:dyDescent="0.3">
      <c r="A248">
        <v>420</v>
      </c>
      <c r="B248" s="1">
        <v>46165</v>
      </c>
      <c r="C248">
        <v>102</v>
      </c>
      <c r="D248" t="s">
        <v>27</v>
      </c>
      <c r="E248" t="s">
        <v>28</v>
      </c>
      <c r="F248">
        <v>202</v>
      </c>
      <c r="G248" t="s">
        <v>19</v>
      </c>
      <c r="H248" s="39" t="s">
        <v>18</v>
      </c>
      <c r="I248">
        <v>2</v>
      </c>
      <c r="J248">
        <v>2576000</v>
      </c>
      <c r="K248">
        <v>2100000</v>
      </c>
      <c r="L248">
        <v>5152000</v>
      </c>
      <c r="M248">
        <v>952000</v>
      </c>
    </row>
    <row r="249" spans="1:13" x14ac:dyDescent="0.3">
      <c r="A249">
        <v>427</v>
      </c>
      <c r="B249" s="1">
        <v>46168</v>
      </c>
      <c r="C249">
        <v>102</v>
      </c>
      <c r="D249" t="s">
        <v>27</v>
      </c>
      <c r="E249" t="s">
        <v>28</v>
      </c>
      <c r="F249">
        <v>201</v>
      </c>
      <c r="G249" t="s">
        <v>17</v>
      </c>
      <c r="H249" s="39" t="s">
        <v>18</v>
      </c>
      <c r="I249">
        <v>2</v>
      </c>
      <c r="J249">
        <v>8245000</v>
      </c>
      <c r="K249">
        <v>6800000</v>
      </c>
      <c r="L249">
        <v>16490000</v>
      </c>
      <c r="M249">
        <v>2890000</v>
      </c>
    </row>
    <row r="250" spans="1:13" x14ac:dyDescent="0.3">
      <c r="A250">
        <v>428</v>
      </c>
      <c r="B250" s="1">
        <v>46168</v>
      </c>
      <c r="C250">
        <v>102</v>
      </c>
      <c r="D250" t="s">
        <v>27</v>
      </c>
      <c r="E250" t="s">
        <v>28</v>
      </c>
      <c r="F250">
        <v>201</v>
      </c>
      <c r="G250" t="s">
        <v>17</v>
      </c>
      <c r="H250" s="39" t="s">
        <v>18</v>
      </c>
      <c r="I250">
        <v>5</v>
      </c>
      <c r="J250">
        <v>8245000</v>
      </c>
      <c r="K250">
        <v>6800000</v>
      </c>
      <c r="L250">
        <v>41225000</v>
      </c>
      <c r="M250">
        <v>7225000</v>
      </c>
    </row>
    <row r="251" spans="1:13" x14ac:dyDescent="0.3">
      <c r="A251">
        <v>432</v>
      </c>
      <c r="B251" s="1">
        <v>46170</v>
      </c>
      <c r="C251">
        <v>102</v>
      </c>
      <c r="D251" t="s">
        <v>27</v>
      </c>
      <c r="E251" t="s">
        <v>28</v>
      </c>
      <c r="F251">
        <v>204</v>
      </c>
      <c r="G251" t="s">
        <v>22</v>
      </c>
      <c r="H251" s="39" t="s">
        <v>21</v>
      </c>
      <c r="I251">
        <v>5</v>
      </c>
      <c r="J251">
        <v>533500</v>
      </c>
      <c r="K251">
        <v>330000</v>
      </c>
      <c r="L251">
        <v>2667500</v>
      </c>
      <c r="M251">
        <v>1017500</v>
      </c>
    </row>
    <row r="252" spans="1:13" x14ac:dyDescent="0.3">
      <c r="A252">
        <v>445</v>
      </c>
      <c r="B252" s="1">
        <v>46175</v>
      </c>
      <c r="C252">
        <v>102</v>
      </c>
      <c r="D252" t="s">
        <v>27</v>
      </c>
      <c r="E252" t="s">
        <v>28</v>
      </c>
      <c r="F252">
        <v>206</v>
      </c>
      <c r="G252" t="s">
        <v>15</v>
      </c>
      <c r="H252" s="39" t="s">
        <v>16</v>
      </c>
      <c r="I252">
        <v>1</v>
      </c>
      <c r="J252">
        <v>3395000</v>
      </c>
      <c r="K252">
        <v>2350000</v>
      </c>
      <c r="L252">
        <v>3395000</v>
      </c>
      <c r="M252">
        <v>1045000</v>
      </c>
    </row>
    <row r="253" spans="1:13" x14ac:dyDescent="0.3">
      <c r="A253">
        <v>452</v>
      </c>
      <c r="B253" s="1">
        <v>46178</v>
      </c>
      <c r="C253">
        <v>102</v>
      </c>
      <c r="D253" t="s">
        <v>27</v>
      </c>
      <c r="E253" t="s">
        <v>28</v>
      </c>
      <c r="F253">
        <v>206</v>
      </c>
      <c r="G253" t="s">
        <v>15</v>
      </c>
      <c r="H253" s="39" t="s">
        <v>16</v>
      </c>
      <c r="I253">
        <v>5</v>
      </c>
      <c r="J253">
        <v>3500000</v>
      </c>
      <c r="K253">
        <v>2350000</v>
      </c>
      <c r="L253">
        <v>17500000</v>
      </c>
      <c r="M253">
        <v>5750000</v>
      </c>
    </row>
    <row r="254" spans="1:13" x14ac:dyDescent="0.3">
      <c r="A254">
        <v>476</v>
      </c>
      <c r="B254" s="1">
        <v>46185</v>
      </c>
      <c r="C254">
        <v>102</v>
      </c>
      <c r="D254" t="s">
        <v>27</v>
      </c>
      <c r="E254" t="s">
        <v>28</v>
      </c>
      <c r="F254">
        <v>205</v>
      </c>
      <c r="G254" t="s">
        <v>23</v>
      </c>
      <c r="H254" s="39" t="s">
        <v>16</v>
      </c>
      <c r="I254">
        <v>3</v>
      </c>
      <c r="J254">
        <v>2090000</v>
      </c>
      <c r="K254">
        <v>1450000</v>
      </c>
      <c r="L254">
        <v>6270000</v>
      </c>
      <c r="M254">
        <v>1920000</v>
      </c>
    </row>
    <row r="255" spans="1:13" x14ac:dyDescent="0.3">
      <c r="A255">
        <v>481</v>
      </c>
      <c r="B255" s="1">
        <v>46187</v>
      </c>
      <c r="C255">
        <v>102</v>
      </c>
      <c r="D255" t="s">
        <v>27</v>
      </c>
      <c r="E255" t="s">
        <v>28</v>
      </c>
      <c r="F255">
        <v>204</v>
      </c>
      <c r="G255" t="s">
        <v>22</v>
      </c>
      <c r="H255" s="39" t="s">
        <v>21</v>
      </c>
      <c r="I255">
        <v>4</v>
      </c>
      <c r="J255">
        <v>522500</v>
      </c>
      <c r="K255">
        <v>330000</v>
      </c>
      <c r="L255">
        <v>2090000</v>
      </c>
      <c r="M255">
        <v>770000</v>
      </c>
    </row>
    <row r="256" spans="1:13" x14ac:dyDescent="0.3">
      <c r="A256">
        <v>483</v>
      </c>
      <c r="B256" s="1">
        <v>46188</v>
      </c>
      <c r="C256">
        <v>102</v>
      </c>
      <c r="D256" t="s">
        <v>27</v>
      </c>
      <c r="E256" t="s">
        <v>28</v>
      </c>
      <c r="F256">
        <v>201</v>
      </c>
      <c r="G256" t="s">
        <v>17</v>
      </c>
      <c r="H256" s="39" t="s">
        <v>18</v>
      </c>
      <c r="I256">
        <v>4</v>
      </c>
      <c r="J256">
        <v>7820000</v>
      </c>
      <c r="K256">
        <v>6800000</v>
      </c>
      <c r="L256">
        <v>31280000</v>
      </c>
      <c r="M256">
        <v>4080000</v>
      </c>
    </row>
    <row r="257" spans="1:13" x14ac:dyDescent="0.3">
      <c r="A257">
        <v>485</v>
      </c>
      <c r="B257" s="1">
        <v>46189</v>
      </c>
      <c r="C257">
        <v>102</v>
      </c>
      <c r="D257" t="s">
        <v>27</v>
      </c>
      <c r="E257" t="s">
        <v>28</v>
      </c>
      <c r="F257">
        <v>201</v>
      </c>
      <c r="G257" t="s">
        <v>17</v>
      </c>
      <c r="H257" s="39" t="s">
        <v>18</v>
      </c>
      <c r="I257">
        <v>5</v>
      </c>
      <c r="J257">
        <v>8245000</v>
      </c>
      <c r="K257">
        <v>6800000</v>
      </c>
      <c r="L257">
        <v>41225000</v>
      </c>
      <c r="M257">
        <v>7225000</v>
      </c>
    </row>
    <row r="258" spans="1:13" x14ac:dyDescent="0.3">
      <c r="A258">
        <v>488</v>
      </c>
      <c r="B258" s="1">
        <v>46190</v>
      </c>
      <c r="C258">
        <v>102</v>
      </c>
      <c r="D258" t="s">
        <v>27</v>
      </c>
      <c r="E258" t="s">
        <v>28</v>
      </c>
      <c r="F258">
        <v>206</v>
      </c>
      <c r="G258" t="s">
        <v>15</v>
      </c>
      <c r="H258" s="39" t="s">
        <v>16</v>
      </c>
      <c r="I258">
        <v>3</v>
      </c>
      <c r="J258">
        <v>3325000</v>
      </c>
      <c r="K258">
        <v>2350000</v>
      </c>
      <c r="L258">
        <v>9975000</v>
      </c>
      <c r="M258">
        <v>2925000</v>
      </c>
    </row>
    <row r="259" spans="1:13" x14ac:dyDescent="0.3">
      <c r="A259">
        <v>499</v>
      </c>
      <c r="B259" s="1">
        <v>46192</v>
      </c>
      <c r="C259">
        <v>102</v>
      </c>
      <c r="D259" t="s">
        <v>27</v>
      </c>
      <c r="E259" t="s">
        <v>28</v>
      </c>
      <c r="F259">
        <v>203</v>
      </c>
      <c r="G259" t="s">
        <v>20</v>
      </c>
      <c r="H259" s="39" t="s">
        <v>21</v>
      </c>
      <c r="I259">
        <v>5</v>
      </c>
      <c r="J259">
        <v>874000</v>
      </c>
      <c r="K259">
        <v>620000</v>
      </c>
      <c r="L259">
        <v>4370000</v>
      </c>
      <c r="M259">
        <v>1270000</v>
      </c>
    </row>
    <row r="260" spans="1:13" x14ac:dyDescent="0.3">
      <c r="A260">
        <v>502</v>
      </c>
      <c r="B260" s="1">
        <v>46193</v>
      </c>
      <c r="C260">
        <v>102</v>
      </c>
      <c r="D260" t="s">
        <v>27</v>
      </c>
      <c r="E260" t="s">
        <v>28</v>
      </c>
      <c r="F260">
        <v>205</v>
      </c>
      <c r="G260" t="s">
        <v>23</v>
      </c>
      <c r="H260" s="39" t="s">
        <v>16</v>
      </c>
      <c r="I260">
        <v>1</v>
      </c>
      <c r="J260">
        <v>2134000</v>
      </c>
      <c r="K260">
        <v>1450000</v>
      </c>
      <c r="L260">
        <v>2134000</v>
      </c>
      <c r="M260">
        <v>684000</v>
      </c>
    </row>
    <row r="261" spans="1:13" x14ac:dyDescent="0.3">
      <c r="A261">
        <v>510</v>
      </c>
      <c r="B261" s="1">
        <v>46195</v>
      </c>
      <c r="C261">
        <v>102</v>
      </c>
      <c r="D261" t="s">
        <v>27</v>
      </c>
      <c r="E261" t="s">
        <v>28</v>
      </c>
      <c r="F261">
        <v>201</v>
      </c>
      <c r="G261" t="s">
        <v>17</v>
      </c>
      <c r="H261" s="39" t="s">
        <v>18</v>
      </c>
      <c r="I261">
        <v>4</v>
      </c>
      <c r="J261">
        <v>7820000</v>
      </c>
      <c r="K261">
        <v>6800000</v>
      </c>
      <c r="L261">
        <v>31280000</v>
      </c>
      <c r="M261">
        <v>4080000</v>
      </c>
    </row>
    <row r="262" spans="1:13" x14ac:dyDescent="0.3">
      <c r="A262">
        <v>513</v>
      </c>
      <c r="B262" s="1">
        <v>46196</v>
      </c>
      <c r="C262">
        <v>102</v>
      </c>
      <c r="D262" t="s">
        <v>27</v>
      </c>
      <c r="E262" t="s">
        <v>28</v>
      </c>
      <c r="F262">
        <v>201</v>
      </c>
      <c r="G262" t="s">
        <v>17</v>
      </c>
      <c r="H262" s="39" t="s">
        <v>18</v>
      </c>
      <c r="I262">
        <v>3</v>
      </c>
      <c r="J262">
        <v>8245000</v>
      </c>
      <c r="K262">
        <v>6800000</v>
      </c>
      <c r="L262">
        <v>24735000</v>
      </c>
      <c r="M262">
        <v>4335000</v>
      </c>
    </row>
    <row r="263" spans="1:13" x14ac:dyDescent="0.3">
      <c r="A263">
        <v>519</v>
      </c>
      <c r="B263" s="1">
        <v>46198</v>
      </c>
      <c r="C263">
        <v>102</v>
      </c>
      <c r="D263" t="s">
        <v>27</v>
      </c>
      <c r="E263" t="s">
        <v>28</v>
      </c>
      <c r="F263">
        <v>201</v>
      </c>
      <c r="G263" t="s">
        <v>17</v>
      </c>
      <c r="H263" s="39" t="s">
        <v>18</v>
      </c>
      <c r="I263">
        <v>3</v>
      </c>
      <c r="J263">
        <v>8075000</v>
      </c>
      <c r="K263">
        <v>6800000</v>
      </c>
      <c r="L263">
        <v>24225000</v>
      </c>
      <c r="M263">
        <v>3825000</v>
      </c>
    </row>
    <row r="264" spans="1:13" x14ac:dyDescent="0.3">
      <c r="A264">
        <v>520</v>
      </c>
      <c r="B264" s="1">
        <v>46199</v>
      </c>
      <c r="C264">
        <v>102</v>
      </c>
      <c r="D264" t="s">
        <v>27</v>
      </c>
      <c r="E264" t="s">
        <v>28</v>
      </c>
      <c r="F264">
        <v>204</v>
      </c>
      <c r="G264" t="s">
        <v>22</v>
      </c>
      <c r="H264" s="39" t="s">
        <v>21</v>
      </c>
      <c r="I264">
        <v>2</v>
      </c>
      <c r="J264">
        <v>522500</v>
      </c>
      <c r="K264">
        <v>330000</v>
      </c>
      <c r="L264">
        <v>1045000</v>
      </c>
      <c r="M264">
        <v>385000</v>
      </c>
    </row>
    <row r="265" spans="1:13" x14ac:dyDescent="0.3">
      <c r="A265">
        <v>525</v>
      </c>
      <c r="B265" s="1">
        <v>46201</v>
      </c>
      <c r="C265">
        <v>102</v>
      </c>
      <c r="D265" t="s">
        <v>27</v>
      </c>
      <c r="E265" t="s">
        <v>28</v>
      </c>
      <c r="F265">
        <v>203</v>
      </c>
      <c r="G265" t="s">
        <v>20</v>
      </c>
      <c r="H265" s="39" t="s">
        <v>21</v>
      </c>
      <c r="I265">
        <v>2</v>
      </c>
      <c r="J265">
        <v>950000</v>
      </c>
      <c r="K265">
        <v>620000</v>
      </c>
      <c r="L265">
        <v>1900000</v>
      </c>
      <c r="M265">
        <v>660000</v>
      </c>
    </row>
    <row r="266" spans="1:13" x14ac:dyDescent="0.3">
      <c r="A266">
        <v>14</v>
      </c>
      <c r="B266" s="1">
        <v>46029</v>
      </c>
      <c r="C266">
        <v>106</v>
      </c>
      <c r="D266" t="s">
        <v>29</v>
      </c>
      <c r="E266" t="s">
        <v>28</v>
      </c>
      <c r="F266">
        <v>205</v>
      </c>
      <c r="G266" t="s">
        <v>23</v>
      </c>
      <c r="H266" s="39" t="s">
        <v>16</v>
      </c>
      <c r="I266">
        <v>5</v>
      </c>
      <c r="J266">
        <v>2090000</v>
      </c>
      <c r="K266">
        <v>1450000</v>
      </c>
      <c r="L266">
        <v>10450000</v>
      </c>
      <c r="M266">
        <v>3200000</v>
      </c>
    </row>
    <row r="267" spans="1:13" x14ac:dyDescent="0.3">
      <c r="A267">
        <v>19</v>
      </c>
      <c r="B267" s="1">
        <v>46030</v>
      </c>
      <c r="C267">
        <v>106</v>
      </c>
      <c r="D267" t="s">
        <v>29</v>
      </c>
      <c r="E267" t="s">
        <v>28</v>
      </c>
      <c r="F267">
        <v>206</v>
      </c>
      <c r="G267" t="s">
        <v>15</v>
      </c>
      <c r="H267" s="39" t="s">
        <v>16</v>
      </c>
      <c r="I267">
        <v>3</v>
      </c>
      <c r="J267">
        <v>3500000</v>
      </c>
      <c r="K267">
        <v>2350000</v>
      </c>
      <c r="L267">
        <v>10500000</v>
      </c>
      <c r="M267">
        <v>3450000</v>
      </c>
    </row>
    <row r="268" spans="1:13" x14ac:dyDescent="0.3">
      <c r="A268">
        <v>20</v>
      </c>
      <c r="B268" s="1">
        <v>46031</v>
      </c>
      <c r="C268">
        <v>106</v>
      </c>
      <c r="D268" t="s">
        <v>29</v>
      </c>
      <c r="E268" t="s">
        <v>28</v>
      </c>
      <c r="F268">
        <v>205</v>
      </c>
      <c r="G268" t="s">
        <v>23</v>
      </c>
      <c r="H268" s="39" t="s">
        <v>16</v>
      </c>
      <c r="I268">
        <v>1</v>
      </c>
      <c r="J268">
        <v>2134000</v>
      </c>
      <c r="K268">
        <v>1450000</v>
      </c>
      <c r="L268">
        <v>2134000</v>
      </c>
      <c r="M268">
        <v>684000</v>
      </c>
    </row>
    <row r="269" spans="1:13" x14ac:dyDescent="0.3">
      <c r="A269">
        <v>26</v>
      </c>
      <c r="B269" s="1">
        <v>46032</v>
      </c>
      <c r="C269">
        <v>106</v>
      </c>
      <c r="D269" t="s">
        <v>29</v>
      </c>
      <c r="E269" t="s">
        <v>28</v>
      </c>
      <c r="F269">
        <v>202</v>
      </c>
      <c r="G269" t="s">
        <v>19</v>
      </c>
      <c r="H269" s="39" t="s">
        <v>18</v>
      </c>
      <c r="I269">
        <v>4</v>
      </c>
      <c r="J269">
        <v>2660000</v>
      </c>
      <c r="K269">
        <v>2100000</v>
      </c>
      <c r="L269">
        <v>10640000</v>
      </c>
      <c r="M269">
        <v>2240000</v>
      </c>
    </row>
    <row r="270" spans="1:13" x14ac:dyDescent="0.3">
      <c r="A270">
        <v>29</v>
      </c>
      <c r="B270" s="1">
        <v>46033</v>
      </c>
      <c r="C270">
        <v>106</v>
      </c>
      <c r="D270" t="s">
        <v>29</v>
      </c>
      <c r="E270" t="s">
        <v>28</v>
      </c>
      <c r="F270">
        <v>203</v>
      </c>
      <c r="G270" t="s">
        <v>20</v>
      </c>
      <c r="H270" s="39" t="s">
        <v>21</v>
      </c>
      <c r="I270">
        <v>5</v>
      </c>
      <c r="J270">
        <v>902500</v>
      </c>
      <c r="K270">
        <v>620000</v>
      </c>
      <c r="L270">
        <v>4512500</v>
      </c>
      <c r="M270">
        <v>1412500</v>
      </c>
    </row>
    <row r="271" spans="1:13" x14ac:dyDescent="0.3">
      <c r="A271">
        <v>43</v>
      </c>
      <c r="B271" s="1">
        <v>46038</v>
      </c>
      <c r="C271">
        <v>106</v>
      </c>
      <c r="D271" t="s">
        <v>29</v>
      </c>
      <c r="E271" t="s">
        <v>28</v>
      </c>
      <c r="F271">
        <v>203</v>
      </c>
      <c r="G271" t="s">
        <v>20</v>
      </c>
      <c r="H271" s="39" t="s">
        <v>21</v>
      </c>
      <c r="I271">
        <v>3</v>
      </c>
      <c r="J271">
        <v>950000</v>
      </c>
      <c r="K271">
        <v>620000</v>
      </c>
      <c r="L271">
        <v>2850000</v>
      </c>
      <c r="M271">
        <v>990000</v>
      </c>
    </row>
    <row r="272" spans="1:13" x14ac:dyDescent="0.3">
      <c r="A272">
        <v>52</v>
      </c>
      <c r="B272" s="1">
        <v>46041</v>
      </c>
      <c r="C272">
        <v>106</v>
      </c>
      <c r="D272" t="s">
        <v>29</v>
      </c>
      <c r="E272" t="s">
        <v>28</v>
      </c>
      <c r="F272">
        <v>202</v>
      </c>
      <c r="G272" t="s">
        <v>19</v>
      </c>
      <c r="H272" s="39" t="s">
        <v>18</v>
      </c>
      <c r="I272">
        <v>4</v>
      </c>
      <c r="J272">
        <v>2716000</v>
      </c>
      <c r="K272">
        <v>2100000</v>
      </c>
      <c r="L272">
        <v>10864000</v>
      </c>
      <c r="M272">
        <v>2464000</v>
      </c>
    </row>
    <row r="273" spans="1:13" x14ac:dyDescent="0.3">
      <c r="A273">
        <v>55</v>
      </c>
      <c r="B273" s="1">
        <v>46042</v>
      </c>
      <c r="C273">
        <v>106</v>
      </c>
      <c r="D273" t="s">
        <v>29</v>
      </c>
      <c r="E273" t="s">
        <v>28</v>
      </c>
      <c r="F273">
        <v>204</v>
      </c>
      <c r="G273" t="s">
        <v>22</v>
      </c>
      <c r="H273" s="39" t="s">
        <v>21</v>
      </c>
      <c r="I273">
        <v>3</v>
      </c>
      <c r="J273">
        <v>533500</v>
      </c>
      <c r="K273">
        <v>330000</v>
      </c>
      <c r="L273">
        <v>1600500</v>
      </c>
      <c r="M273">
        <v>610500</v>
      </c>
    </row>
    <row r="274" spans="1:13" x14ac:dyDescent="0.3">
      <c r="A274">
        <v>56</v>
      </c>
      <c r="B274" s="1">
        <v>46042</v>
      </c>
      <c r="C274">
        <v>106</v>
      </c>
      <c r="D274" t="s">
        <v>29</v>
      </c>
      <c r="E274" t="s">
        <v>28</v>
      </c>
      <c r="F274">
        <v>201</v>
      </c>
      <c r="G274" t="s">
        <v>17</v>
      </c>
      <c r="H274" s="39" t="s">
        <v>18</v>
      </c>
      <c r="I274">
        <v>3</v>
      </c>
      <c r="J274">
        <v>8500000</v>
      </c>
      <c r="K274">
        <v>6800000</v>
      </c>
      <c r="L274">
        <v>25500000</v>
      </c>
      <c r="M274">
        <v>5100000</v>
      </c>
    </row>
    <row r="275" spans="1:13" x14ac:dyDescent="0.3">
      <c r="A275">
        <v>57</v>
      </c>
      <c r="B275" s="1">
        <v>46043</v>
      </c>
      <c r="C275">
        <v>106</v>
      </c>
      <c r="D275" t="s">
        <v>29</v>
      </c>
      <c r="E275" t="s">
        <v>28</v>
      </c>
      <c r="F275">
        <v>201</v>
      </c>
      <c r="G275" t="s">
        <v>17</v>
      </c>
      <c r="H275" s="39" t="s">
        <v>18</v>
      </c>
      <c r="I275">
        <v>4</v>
      </c>
      <c r="J275">
        <v>8245000</v>
      </c>
      <c r="K275">
        <v>6800000</v>
      </c>
      <c r="L275">
        <v>32980000</v>
      </c>
      <c r="M275">
        <v>5780000</v>
      </c>
    </row>
    <row r="276" spans="1:13" x14ac:dyDescent="0.3">
      <c r="A276">
        <v>66</v>
      </c>
      <c r="B276" s="1">
        <v>46045</v>
      </c>
      <c r="C276">
        <v>106</v>
      </c>
      <c r="D276" t="s">
        <v>29</v>
      </c>
      <c r="E276" t="s">
        <v>28</v>
      </c>
      <c r="F276">
        <v>203</v>
      </c>
      <c r="G276" t="s">
        <v>20</v>
      </c>
      <c r="H276" s="39" t="s">
        <v>21</v>
      </c>
      <c r="I276">
        <v>3</v>
      </c>
      <c r="J276">
        <v>874000</v>
      </c>
      <c r="K276">
        <v>620000</v>
      </c>
      <c r="L276">
        <v>2622000</v>
      </c>
      <c r="M276">
        <v>762000</v>
      </c>
    </row>
    <row r="277" spans="1:13" x14ac:dyDescent="0.3">
      <c r="A277">
        <v>74</v>
      </c>
      <c r="B277" s="1">
        <v>46047</v>
      </c>
      <c r="C277">
        <v>106</v>
      </c>
      <c r="D277" t="s">
        <v>29</v>
      </c>
      <c r="E277" t="s">
        <v>28</v>
      </c>
      <c r="F277">
        <v>205</v>
      </c>
      <c r="G277" t="s">
        <v>23</v>
      </c>
      <c r="H277" s="39" t="s">
        <v>16</v>
      </c>
      <c r="I277">
        <v>5</v>
      </c>
      <c r="J277">
        <v>2024000</v>
      </c>
      <c r="K277">
        <v>1450000</v>
      </c>
      <c r="L277">
        <v>10120000</v>
      </c>
      <c r="M277">
        <v>2870000</v>
      </c>
    </row>
    <row r="278" spans="1:13" x14ac:dyDescent="0.3">
      <c r="A278">
        <v>88</v>
      </c>
      <c r="B278" s="1">
        <v>46052</v>
      </c>
      <c r="C278">
        <v>106</v>
      </c>
      <c r="D278" t="s">
        <v>29</v>
      </c>
      <c r="E278" t="s">
        <v>28</v>
      </c>
      <c r="F278">
        <v>203</v>
      </c>
      <c r="G278" t="s">
        <v>20</v>
      </c>
      <c r="H278" s="39" t="s">
        <v>21</v>
      </c>
      <c r="I278">
        <v>2</v>
      </c>
      <c r="J278">
        <v>950000</v>
      </c>
      <c r="K278">
        <v>620000</v>
      </c>
      <c r="L278">
        <v>1900000</v>
      </c>
      <c r="M278">
        <v>660000</v>
      </c>
    </row>
    <row r="279" spans="1:13" x14ac:dyDescent="0.3">
      <c r="A279">
        <v>91</v>
      </c>
      <c r="B279" s="1">
        <v>46053</v>
      </c>
      <c r="C279">
        <v>106</v>
      </c>
      <c r="D279" t="s">
        <v>29</v>
      </c>
      <c r="E279" t="s">
        <v>28</v>
      </c>
      <c r="F279">
        <v>202</v>
      </c>
      <c r="G279" t="s">
        <v>19</v>
      </c>
      <c r="H279" s="39" t="s">
        <v>18</v>
      </c>
      <c r="I279">
        <v>2</v>
      </c>
      <c r="J279">
        <v>2660000</v>
      </c>
      <c r="K279">
        <v>2100000</v>
      </c>
      <c r="L279">
        <v>5320000</v>
      </c>
      <c r="M279">
        <v>1120000</v>
      </c>
    </row>
    <row r="280" spans="1:13" x14ac:dyDescent="0.3">
      <c r="A280">
        <v>98</v>
      </c>
      <c r="B280" s="1">
        <v>46056</v>
      </c>
      <c r="C280">
        <v>106</v>
      </c>
      <c r="D280" t="s">
        <v>29</v>
      </c>
      <c r="E280" t="s">
        <v>28</v>
      </c>
      <c r="F280">
        <v>205</v>
      </c>
      <c r="G280" t="s">
        <v>23</v>
      </c>
      <c r="H280" s="39" t="s">
        <v>16</v>
      </c>
      <c r="I280">
        <v>3</v>
      </c>
      <c r="J280">
        <v>2134000</v>
      </c>
      <c r="K280">
        <v>1450000</v>
      </c>
      <c r="L280">
        <v>6402000</v>
      </c>
      <c r="M280">
        <v>2052000</v>
      </c>
    </row>
    <row r="281" spans="1:13" x14ac:dyDescent="0.3">
      <c r="A281">
        <v>100</v>
      </c>
      <c r="B281" s="1">
        <v>46056</v>
      </c>
      <c r="C281">
        <v>106</v>
      </c>
      <c r="D281" t="s">
        <v>29</v>
      </c>
      <c r="E281" t="s">
        <v>28</v>
      </c>
      <c r="F281">
        <v>201</v>
      </c>
      <c r="G281" t="s">
        <v>17</v>
      </c>
      <c r="H281" s="39" t="s">
        <v>18</v>
      </c>
      <c r="I281">
        <v>4</v>
      </c>
      <c r="J281">
        <v>7820000</v>
      </c>
      <c r="K281">
        <v>6800000</v>
      </c>
      <c r="L281">
        <v>31280000</v>
      </c>
      <c r="M281">
        <v>4080000</v>
      </c>
    </row>
    <row r="282" spans="1:13" x14ac:dyDescent="0.3">
      <c r="A282">
        <v>119</v>
      </c>
      <c r="B282" s="1">
        <v>46062</v>
      </c>
      <c r="C282">
        <v>106</v>
      </c>
      <c r="D282" t="s">
        <v>29</v>
      </c>
      <c r="E282" t="s">
        <v>28</v>
      </c>
      <c r="F282">
        <v>206</v>
      </c>
      <c r="G282" t="s">
        <v>15</v>
      </c>
      <c r="H282" s="39" t="s">
        <v>16</v>
      </c>
      <c r="I282">
        <v>5</v>
      </c>
      <c r="J282">
        <v>3220000</v>
      </c>
      <c r="K282">
        <v>2350000</v>
      </c>
      <c r="L282">
        <v>16100000</v>
      </c>
      <c r="M282">
        <v>4350000</v>
      </c>
    </row>
    <row r="283" spans="1:13" x14ac:dyDescent="0.3">
      <c r="A283">
        <v>132</v>
      </c>
      <c r="B283" s="1">
        <v>46067</v>
      </c>
      <c r="C283">
        <v>106</v>
      </c>
      <c r="D283" t="s">
        <v>29</v>
      </c>
      <c r="E283" t="s">
        <v>28</v>
      </c>
      <c r="F283">
        <v>204</v>
      </c>
      <c r="G283" t="s">
        <v>22</v>
      </c>
      <c r="H283" s="39" t="s">
        <v>21</v>
      </c>
      <c r="I283">
        <v>5</v>
      </c>
      <c r="J283">
        <v>533500</v>
      </c>
      <c r="K283">
        <v>330000</v>
      </c>
      <c r="L283">
        <v>2667500</v>
      </c>
      <c r="M283">
        <v>1017500</v>
      </c>
    </row>
    <row r="284" spans="1:13" x14ac:dyDescent="0.3">
      <c r="A284">
        <v>139</v>
      </c>
      <c r="B284" s="1">
        <v>46069</v>
      </c>
      <c r="C284">
        <v>106</v>
      </c>
      <c r="D284" t="s">
        <v>29</v>
      </c>
      <c r="E284" t="s">
        <v>28</v>
      </c>
      <c r="F284">
        <v>204</v>
      </c>
      <c r="G284" t="s">
        <v>22</v>
      </c>
      <c r="H284" s="39" t="s">
        <v>21</v>
      </c>
      <c r="I284">
        <v>4</v>
      </c>
      <c r="J284">
        <v>506000</v>
      </c>
      <c r="K284">
        <v>330000</v>
      </c>
      <c r="L284">
        <v>2024000</v>
      </c>
      <c r="M284">
        <v>704000</v>
      </c>
    </row>
    <row r="285" spans="1:13" x14ac:dyDescent="0.3">
      <c r="A285">
        <v>140</v>
      </c>
      <c r="B285" s="1">
        <v>46069</v>
      </c>
      <c r="C285">
        <v>106</v>
      </c>
      <c r="D285" t="s">
        <v>29</v>
      </c>
      <c r="E285" t="s">
        <v>28</v>
      </c>
      <c r="F285">
        <v>201</v>
      </c>
      <c r="G285" t="s">
        <v>17</v>
      </c>
      <c r="H285" s="39" t="s">
        <v>18</v>
      </c>
      <c r="I285">
        <v>5</v>
      </c>
      <c r="J285">
        <v>8075000</v>
      </c>
      <c r="K285">
        <v>6800000</v>
      </c>
      <c r="L285">
        <v>40375000</v>
      </c>
      <c r="M285">
        <v>6375000</v>
      </c>
    </row>
    <row r="286" spans="1:13" x14ac:dyDescent="0.3">
      <c r="A286">
        <v>143</v>
      </c>
      <c r="B286" s="1">
        <v>46070</v>
      </c>
      <c r="C286">
        <v>106</v>
      </c>
      <c r="D286" t="s">
        <v>29</v>
      </c>
      <c r="E286" t="s">
        <v>28</v>
      </c>
      <c r="F286">
        <v>202</v>
      </c>
      <c r="G286" t="s">
        <v>19</v>
      </c>
      <c r="H286" s="39" t="s">
        <v>18</v>
      </c>
      <c r="I286">
        <v>2</v>
      </c>
      <c r="J286">
        <v>2800000</v>
      </c>
      <c r="K286">
        <v>2100000</v>
      </c>
      <c r="L286">
        <v>5600000</v>
      </c>
      <c r="M286">
        <v>1400000</v>
      </c>
    </row>
    <row r="287" spans="1:13" x14ac:dyDescent="0.3">
      <c r="A287">
        <v>157</v>
      </c>
      <c r="B287" s="1">
        <v>46074</v>
      </c>
      <c r="C287">
        <v>106</v>
      </c>
      <c r="D287" t="s">
        <v>29</v>
      </c>
      <c r="E287" t="s">
        <v>28</v>
      </c>
      <c r="F287">
        <v>204</v>
      </c>
      <c r="G287" t="s">
        <v>22</v>
      </c>
      <c r="H287" s="39" t="s">
        <v>21</v>
      </c>
      <c r="I287">
        <v>1</v>
      </c>
      <c r="J287">
        <v>522500</v>
      </c>
      <c r="K287">
        <v>330000</v>
      </c>
      <c r="L287">
        <v>522500</v>
      </c>
      <c r="M287">
        <v>192500</v>
      </c>
    </row>
    <row r="288" spans="1:13" x14ac:dyDescent="0.3">
      <c r="A288">
        <v>162</v>
      </c>
      <c r="B288" s="1">
        <v>46075</v>
      </c>
      <c r="C288">
        <v>106</v>
      </c>
      <c r="D288" t="s">
        <v>29</v>
      </c>
      <c r="E288" t="s">
        <v>28</v>
      </c>
      <c r="F288">
        <v>204</v>
      </c>
      <c r="G288" t="s">
        <v>22</v>
      </c>
      <c r="H288" s="39" t="s">
        <v>21</v>
      </c>
      <c r="I288">
        <v>1</v>
      </c>
      <c r="J288">
        <v>550000</v>
      </c>
      <c r="K288">
        <v>330000</v>
      </c>
      <c r="L288">
        <v>550000</v>
      </c>
      <c r="M288">
        <v>220000</v>
      </c>
    </row>
    <row r="289" spans="1:13" x14ac:dyDescent="0.3">
      <c r="A289">
        <v>169</v>
      </c>
      <c r="B289" s="1">
        <v>46077</v>
      </c>
      <c r="C289">
        <v>106</v>
      </c>
      <c r="D289" t="s">
        <v>29</v>
      </c>
      <c r="E289" t="s">
        <v>28</v>
      </c>
      <c r="F289">
        <v>201</v>
      </c>
      <c r="G289" t="s">
        <v>17</v>
      </c>
      <c r="H289" s="39" t="s">
        <v>18</v>
      </c>
      <c r="I289">
        <v>3</v>
      </c>
      <c r="J289">
        <v>8075000</v>
      </c>
      <c r="K289">
        <v>6800000</v>
      </c>
      <c r="L289">
        <v>24225000</v>
      </c>
      <c r="M289">
        <v>3825000</v>
      </c>
    </row>
    <row r="290" spans="1:13" x14ac:dyDescent="0.3">
      <c r="A290">
        <v>171</v>
      </c>
      <c r="B290" s="1">
        <v>46078</v>
      </c>
      <c r="C290">
        <v>106</v>
      </c>
      <c r="D290" t="s">
        <v>29</v>
      </c>
      <c r="E290" t="s">
        <v>28</v>
      </c>
      <c r="F290">
        <v>205</v>
      </c>
      <c r="G290" t="s">
        <v>23</v>
      </c>
      <c r="H290" s="39" t="s">
        <v>16</v>
      </c>
      <c r="I290">
        <v>2</v>
      </c>
      <c r="J290">
        <v>2090000</v>
      </c>
      <c r="K290">
        <v>1450000</v>
      </c>
      <c r="L290">
        <v>4180000</v>
      </c>
      <c r="M290">
        <v>1280000</v>
      </c>
    </row>
    <row r="291" spans="1:13" x14ac:dyDescent="0.3">
      <c r="A291">
        <v>187</v>
      </c>
      <c r="B291" s="1">
        <v>46083</v>
      </c>
      <c r="C291">
        <v>106</v>
      </c>
      <c r="D291" t="s">
        <v>29</v>
      </c>
      <c r="E291" t="s">
        <v>28</v>
      </c>
      <c r="F291">
        <v>205</v>
      </c>
      <c r="G291" t="s">
        <v>23</v>
      </c>
      <c r="H291" s="39" t="s">
        <v>16</v>
      </c>
      <c r="I291">
        <v>3</v>
      </c>
      <c r="J291">
        <v>2200000</v>
      </c>
      <c r="K291">
        <v>1450000</v>
      </c>
      <c r="L291">
        <v>6600000</v>
      </c>
      <c r="M291">
        <v>2250000</v>
      </c>
    </row>
    <row r="292" spans="1:13" x14ac:dyDescent="0.3">
      <c r="A292">
        <v>191</v>
      </c>
      <c r="B292" s="1">
        <v>46084</v>
      </c>
      <c r="C292">
        <v>106</v>
      </c>
      <c r="D292" t="s">
        <v>29</v>
      </c>
      <c r="E292" t="s">
        <v>28</v>
      </c>
      <c r="F292">
        <v>201</v>
      </c>
      <c r="G292" t="s">
        <v>17</v>
      </c>
      <c r="H292" s="39" t="s">
        <v>18</v>
      </c>
      <c r="I292">
        <v>4</v>
      </c>
      <c r="J292">
        <v>8075000</v>
      </c>
      <c r="K292">
        <v>6800000</v>
      </c>
      <c r="L292">
        <v>32300000</v>
      </c>
      <c r="M292">
        <v>5100000</v>
      </c>
    </row>
    <row r="293" spans="1:13" x14ac:dyDescent="0.3">
      <c r="A293">
        <v>203</v>
      </c>
      <c r="B293" s="1">
        <v>46089</v>
      </c>
      <c r="C293">
        <v>106</v>
      </c>
      <c r="D293" t="s">
        <v>29</v>
      </c>
      <c r="E293" t="s">
        <v>28</v>
      </c>
      <c r="F293">
        <v>204</v>
      </c>
      <c r="G293" t="s">
        <v>22</v>
      </c>
      <c r="H293" s="39" t="s">
        <v>21</v>
      </c>
      <c r="I293">
        <v>3</v>
      </c>
      <c r="J293">
        <v>522500</v>
      </c>
      <c r="K293">
        <v>330000</v>
      </c>
      <c r="L293">
        <v>1567500</v>
      </c>
      <c r="M293">
        <v>577500</v>
      </c>
    </row>
    <row r="294" spans="1:13" x14ac:dyDescent="0.3">
      <c r="A294">
        <v>207</v>
      </c>
      <c r="B294" s="1">
        <v>46090</v>
      </c>
      <c r="C294">
        <v>106</v>
      </c>
      <c r="D294" t="s">
        <v>29</v>
      </c>
      <c r="E294" t="s">
        <v>28</v>
      </c>
      <c r="F294">
        <v>204</v>
      </c>
      <c r="G294" t="s">
        <v>22</v>
      </c>
      <c r="H294" s="39" t="s">
        <v>21</v>
      </c>
      <c r="I294">
        <v>5</v>
      </c>
      <c r="J294">
        <v>522500</v>
      </c>
      <c r="K294">
        <v>330000</v>
      </c>
      <c r="L294">
        <v>2612500</v>
      </c>
      <c r="M294">
        <v>962500</v>
      </c>
    </row>
    <row r="295" spans="1:13" x14ac:dyDescent="0.3">
      <c r="A295">
        <v>222</v>
      </c>
      <c r="B295" s="1">
        <v>46096</v>
      </c>
      <c r="C295">
        <v>106</v>
      </c>
      <c r="D295" t="s">
        <v>29</v>
      </c>
      <c r="E295" t="s">
        <v>28</v>
      </c>
      <c r="F295">
        <v>206</v>
      </c>
      <c r="G295" t="s">
        <v>15</v>
      </c>
      <c r="H295" s="39" t="s">
        <v>16</v>
      </c>
      <c r="I295">
        <v>3</v>
      </c>
      <c r="J295">
        <v>3500000</v>
      </c>
      <c r="K295">
        <v>2350000</v>
      </c>
      <c r="L295">
        <v>10500000</v>
      </c>
      <c r="M295">
        <v>3450000</v>
      </c>
    </row>
    <row r="296" spans="1:13" x14ac:dyDescent="0.3">
      <c r="A296">
        <v>228</v>
      </c>
      <c r="B296" s="1">
        <v>46098</v>
      </c>
      <c r="C296">
        <v>106</v>
      </c>
      <c r="D296" t="s">
        <v>29</v>
      </c>
      <c r="E296" t="s">
        <v>28</v>
      </c>
      <c r="F296">
        <v>204</v>
      </c>
      <c r="G296" t="s">
        <v>22</v>
      </c>
      <c r="H296" s="39" t="s">
        <v>21</v>
      </c>
      <c r="I296">
        <v>4</v>
      </c>
      <c r="J296">
        <v>522500</v>
      </c>
      <c r="K296">
        <v>330000</v>
      </c>
      <c r="L296">
        <v>2090000</v>
      </c>
      <c r="M296">
        <v>770000</v>
      </c>
    </row>
    <row r="297" spans="1:13" x14ac:dyDescent="0.3">
      <c r="A297">
        <v>240</v>
      </c>
      <c r="B297" s="1">
        <v>46102</v>
      </c>
      <c r="C297">
        <v>106</v>
      </c>
      <c r="D297" t="s">
        <v>29</v>
      </c>
      <c r="E297" t="s">
        <v>28</v>
      </c>
      <c r="F297">
        <v>206</v>
      </c>
      <c r="G297" t="s">
        <v>15</v>
      </c>
      <c r="H297" s="39" t="s">
        <v>16</v>
      </c>
      <c r="I297">
        <v>1</v>
      </c>
      <c r="J297">
        <v>3395000</v>
      </c>
      <c r="K297">
        <v>2350000</v>
      </c>
      <c r="L297">
        <v>3395000</v>
      </c>
      <c r="M297">
        <v>1045000</v>
      </c>
    </row>
    <row r="298" spans="1:13" x14ac:dyDescent="0.3">
      <c r="A298">
        <v>241</v>
      </c>
      <c r="B298" s="1">
        <v>46103</v>
      </c>
      <c r="C298">
        <v>106</v>
      </c>
      <c r="D298" t="s">
        <v>29</v>
      </c>
      <c r="E298" t="s">
        <v>28</v>
      </c>
      <c r="F298">
        <v>206</v>
      </c>
      <c r="G298" t="s">
        <v>15</v>
      </c>
      <c r="H298" s="39" t="s">
        <v>16</v>
      </c>
      <c r="I298">
        <v>3</v>
      </c>
      <c r="J298">
        <v>3395000</v>
      </c>
      <c r="K298">
        <v>2350000</v>
      </c>
      <c r="L298">
        <v>10185000</v>
      </c>
      <c r="M298">
        <v>3135000</v>
      </c>
    </row>
    <row r="299" spans="1:13" x14ac:dyDescent="0.3">
      <c r="A299">
        <v>242</v>
      </c>
      <c r="B299" s="1">
        <v>46103</v>
      </c>
      <c r="C299">
        <v>106</v>
      </c>
      <c r="D299" t="s">
        <v>29</v>
      </c>
      <c r="E299" t="s">
        <v>28</v>
      </c>
      <c r="F299">
        <v>201</v>
      </c>
      <c r="G299" t="s">
        <v>17</v>
      </c>
      <c r="H299" s="39" t="s">
        <v>18</v>
      </c>
      <c r="I299">
        <v>2</v>
      </c>
      <c r="J299">
        <v>8075000</v>
      </c>
      <c r="K299">
        <v>6800000</v>
      </c>
      <c r="L299">
        <v>16150000</v>
      </c>
      <c r="M299">
        <v>2550000</v>
      </c>
    </row>
    <row r="300" spans="1:13" x14ac:dyDescent="0.3">
      <c r="A300">
        <v>243</v>
      </c>
      <c r="B300" s="1">
        <v>46103</v>
      </c>
      <c r="C300">
        <v>106</v>
      </c>
      <c r="D300" t="s">
        <v>29</v>
      </c>
      <c r="E300" t="s">
        <v>28</v>
      </c>
      <c r="F300">
        <v>201</v>
      </c>
      <c r="G300" t="s">
        <v>17</v>
      </c>
      <c r="H300" s="39" t="s">
        <v>18</v>
      </c>
      <c r="I300">
        <v>3</v>
      </c>
      <c r="J300">
        <v>8245000</v>
      </c>
      <c r="K300">
        <v>6800000</v>
      </c>
      <c r="L300">
        <v>24735000</v>
      </c>
      <c r="M300">
        <v>4335000</v>
      </c>
    </row>
    <row r="301" spans="1:13" x14ac:dyDescent="0.3">
      <c r="A301">
        <v>246</v>
      </c>
      <c r="B301" s="1">
        <v>46104</v>
      </c>
      <c r="C301">
        <v>106</v>
      </c>
      <c r="D301" t="s">
        <v>29</v>
      </c>
      <c r="E301" t="s">
        <v>28</v>
      </c>
      <c r="F301">
        <v>201</v>
      </c>
      <c r="G301" t="s">
        <v>17</v>
      </c>
      <c r="H301" s="39" t="s">
        <v>18</v>
      </c>
      <c r="I301">
        <v>4</v>
      </c>
      <c r="J301">
        <v>7820000</v>
      </c>
      <c r="K301">
        <v>6800000</v>
      </c>
      <c r="L301">
        <v>31280000</v>
      </c>
      <c r="M301">
        <v>4080000</v>
      </c>
    </row>
    <row r="302" spans="1:13" x14ac:dyDescent="0.3">
      <c r="A302">
        <v>248</v>
      </c>
      <c r="B302" s="1">
        <v>46105</v>
      </c>
      <c r="C302">
        <v>106</v>
      </c>
      <c r="D302" t="s">
        <v>29</v>
      </c>
      <c r="E302" t="s">
        <v>28</v>
      </c>
      <c r="F302">
        <v>202</v>
      </c>
      <c r="G302" t="s">
        <v>19</v>
      </c>
      <c r="H302" s="39" t="s">
        <v>18</v>
      </c>
      <c r="I302">
        <v>4</v>
      </c>
      <c r="J302">
        <v>2660000</v>
      </c>
      <c r="K302">
        <v>2100000</v>
      </c>
      <c r="L302">
        <v>10640000</v>
      </c>
      <c r="M302">
        <v>2240000</v>
      </c>
    </row>
    <row r="303" spans="1:13" x14ac:dyDescent="0.3">
      <c r="A303">
        <v>259</v>
      </c>
      <c r="B303" s="1">
        <v>46109</v>
      </c>
      <c r="C303">
        <v>106</v>
      </c>
      <c r="D303" t="s">
        <v>29</v>
      </c>
      <c r="E303" t="s">
        <v>28</v>
      </c>
      <c r="F303">
        <v>203</v>
      </c>
      <c r="G303" t="s">
        <v>20</v>
      </c>
      <c r="H303" s="39" t="s">
        <v>21</v>
      </c>
      <c r="I303">
        <v>1</v>
      </c>
      <c r="J303">
        <v>950000</v>
      </c>
      <c r="K303">
        <v>620000</v>
      </c>
      <c r="L303">
        <v>950000</v>
      </c>
      <c r="M303">
        <v>330000</v>
      </c>
    </row>
    <row r="304" spans="1:13" x14ac:dyDescent="0.3">
      <c r="A304">
        <v>261</v>
      </c>
      <c r="B304" s="1">
        <v>46110</v>
      </c>
      <c r="C304">
        <v>106</v>
      </c>
      <c r="D304" t="s">
        <v>29</v>
      </c>
      <c r="E304" t="s">
        <v>28</v>
      </c>
      <c r="F304">
        <v>204</v>
      </c>
      <c r="G304" t="s">
        <v>22</v>
      </c>
      <c r="H304" s="39" t="s">
        <v>21</v>
      </c>
      <c r="I304">
        <v>4</v>
      </c>
      <c r="J304">
        <v>533500</v>
      </c>
      <c r="K304">
        <v>330000</v>
      </c>
      <c r="L304">
        <v>2134000</v>
      </c>
      <c r="M304">
        <v>814000</v>
      </c>
    </row>
    <row r="305" spans="1:13" x14ac:dyDescent="0.3">
      <c r="A305">
        <v>263</v>
      </c>
      <c r="B305" s="1">
        <v>46111</v>
      </c>
      <c r="C305">
        <v>106</v>
      </c>
      <c r="D305" t="s">
        <v>29</v>
      </c>
      <c r="E305" t="s">
        <v>28</v>
      </c>
      <c r="F305">
        <v>203</v>
      </c>
      <c r="G305" t="s">
        <v>20</v>
      </c>
      <c r="H305" s="39" t="s">
        <v>21</v>
      </c>
      <c r="I305">
        <v>4</v>
      </c>
      <c r="J305">
        <v>902500</v>
      </c>
      <c r="K305">
        <v>620000</v>
      </c>
      <c r="L305">
        <v>3610000</v>
      </c>
      <c r="M305">
        <v>1130000</v>
      </c>
    </row>
    <row r="306" spans="1:13" x14ac:dyDescent="0.3">
      <c r="A306">
        <v>271</v>
      </c>
      <c r="B306" s="1">
        <v>46113</v>
      </c>
      <c r="C306">
        <v>106</v>
      </c>
      <c r="D306" t="s">
        <v>29</v>
      </c>
      <c r="E306" t="s">
        <v>28</v>
      </c>
      <c r="F306">
        <v>204</v>
      </c>
      <c r="G306" t="s">
        <v>22</v>
      </c>
      <c r="H306" s="39" t="s">
        <v>21</v>
      </c>
      <c r="I306">
        <v>2</v>
      </c>
      <c r="J306">
        <v>550000</v>
      </c>
      <c r="K306">
        <v>330000</v>
      </c>
      <c r="L306">
        <v>1100000</v>
      </c>
      <c r="M306">
        <v>440000</v>
      </c>
    </row>
    <row r="307" spans="1:13" x14ac:dyDescent="0.3">
      <c r="A307">
        <v>285</v>
      </c>
      <c r="B307" s="1">
        <v>46118</v>
      </c>
      <c r="C307">
        <v>106</v>
      </c>
      <c r="D307" t="s">
        <v>29</v>
      </c>
      <c r="E307" t="s">
        <v>28</v>
      </c>
      <c r="F307">
        <v>206</v>
      </c>
      <c r="G307" t="s">
        <v>15</v>
      </c>
      <c r="H307" s="39" t="s">
        <v>16</v>
      </c>
      <c r="I307">
        <v>4</v>
      </c>
      <c r="J307">
        <v>3325000</v>
      </c>
      <c r="K307">
        <v>2350000</v>
      </c>
      <c r="L307">
        <v>13300000</v>
      </c>
      <c r="M307">
        <v>3900000</v>
      </c>
    </row>
    <row r="308" spans="1:13" x14ac:dyDescent="0.3">
      <c r="A308">
        <v>300</v>
      </c>
      <c r="B308" s="1">
        <v>46124</v>
      </c>
      <c r="C308">
        <v>106</v>
      </c>
      <c r="D308" t="s">
        <v>29</v>
      </c>
      <c r="E308" t="s">
        <v>28</v>
      </c>
      <c r="F308">
        <v>204</v>
      </c>
      <c r="G308" t="s">
        <v>22</v>
      </c>
      <c r="H308" s="39" t="s">
        <v>21</v>
      </c>
      <c r="I308">
        <v>1</v>
      </c>
      <c r="J308">
        <v>506000</v>
      </c>
      <c r="K308">
        <v>330000</v>
      </c>
      <c r="L308">
        <v>506000</v>
      </c>
      <c r="M308">
        <v>176000</v>
      </c>
    </row>
    <row r="309" spans="1:13" x14ac:dyDescent="0.3">
      <c r="A309">
        <v>308</v>
      </c>
      <c r="B309" s="1">
        <v>46126</v>
      </c>
      <c r="C309">
        <v>106</v>
      </c>
      <c r="D309" t="s">
        <v>29</v>
      </c>
      <c r="E309" t="s">
        <v>28</v>
      </c>
      <c r="F309">
        <v>203</v>
      </c>
      <c r="G309" t="s">
        <v>20</v>
      </c>
      <c r="H309" s="39" t="s">
        <v>21</v>
      </c>
      <c r="I309">
        <v>5</v>
      </c>
      <c r="J309">
        <v>902500</v>
      </c>
      <c r="K309">
        <v>620000</v>
      </c>
      <c r="L309">
        <v>4512500</v>
      </c>
      <c r="M309">
        <v>1412500</v>
      </c>
    </row>
    <row r="310" spans="1:13" x14ac:dyDescent="0.3">
      <c r="A310">
        <v>309</v>
      </c>
      <c r="B310" s="1">
        <v>46127</v>
      </c>
      <c r="C310">
        <v>106</v>
      </c>
      <c r="D310" t="s">
        <v>29</v>
      </c>
      <c r="E310" t="s">
        <v>28</v>
      </c>
      <c r="F310">
        <v>202</v>
      </c>
      <c r="G310" t="s">
        <v>19</v>
      </c>
      <c r="H310" s="39" t="s">
        <v>18</v>
      </c>
      <c r="I310">
        <v>4</v>
      </c>
      <c r="J310">
        <v>2716000</v>
      </c>
      <c r="K310">
        <v>2100000</v>
      </c>
      <c r="L310">
        <v>10864000</v>
      </c>
      <c r="M310">
        <v>2464000</v>
      </c>
    </row>
    <row r="311" spans="1:13" x14ac:dyDescent="0.3">
      <c r="A311">
        <v>312</v>
      </c>
      <c r="B311" s="1">
        <v>46127</v>
      </c>
      <c r="C311">
        <v>106</v>
      </c>
      <c r="D311" t="s">
        <v>29</v>
      </c>
      <c r="E311" t="s">
        <v>28</v>
      </c>
      <c r="F311">
        <v>204</v>
      </c>
      <c r="G311" t="s">
        <v>22</v>
      </c>
      <c r="H311" s="39" t="s">
        <v>21</v>
      </c>
      <c r="I311">
        <v>1</v>
      </c>
      <c r="J311">
        <v>533500</v>
      </c>
      <c r="K311">
        <v>330000</v>
      </c>
      <c r="L311">
        <v>533500</v>
      </c>
      <c r="M311">
        <v>203500</v>
      </c>
    </row>
    <row r="312" spans="1:13" x14ac:dyDescent="0.3">
      <c r="A312">
        <v>330</v>
      </c>
      <c r="B312" s="1">
        <v>46133</v>
      </c>
      <c r="C312">
        <v>106</v>
      </c>
      <c r="D312" t="s">
        <v>29</v>
      </c>
      <c r="E312" t="s">
        <v>28</v>
      </c>
      <c r="F312">
        <v>206</v>
      </c>
      <c r="G312" t="s">
        <v>15</v>
      </c>
      <c r="H312" s="39" t="s">
        <v>16</v>
      </c>
      <c r="I312">
        <v>2</v>
      </c>
      <c r="J312">
        <v>3220000</v>
      </c>
      <c r="K312">
        <v>2350000</v>
      </c>
      <c r="L312">
        <v>6440000</v>
      </c>
      <c r="M312">
        <v>1740000</v>
      </c>
    </row>
    <row r="313" spans="1:13" x14ac:dyDescent="0.3">
      <c r="A313">
        <v>335</v>
      </c>
      <c r="B313" s="1">
        <v>46135</v>
      </c>
      <c r="C313">
        <v>106</v>
      </c>
      <c r="D313" t="s">
        <v>29</v>
      </c>
      <c r="E313" t="s">
        <v>28</v>
      </c>
      <c r="F313">
        <v>201</v>
      </c>
      <c r="G313" t="s">
        <v>17</v>
      </c>
      <c r="H313" s="39" t="s">
        <v>18</v>
      </c>
      <c r="I313">
        <v>2</v>
      </c>
      <c r="J313">
        <v>8500000</v>
      </c>
      <c r="K313">
        <v>6800000</v>
      </c>
      <c r="L313">
        <v>17000000</v>
      </c>
      <c r="M313">
        <v>3400000</v>
      </c>
    </row>
    <row r="314" spans="1:13" x14ac:dyDescent="0.3">
      <c r="A314">
        <v>349</v>
      </c>
      <c r="B314" s="1">
        <v>46140</v>
      </c>
      <c r="C314">
        <v>106</v>
      </c>
      <c r="D314" t="s">
        <v>29</v>
      </c>
      <c r="E314" t="s">
        <v>28</v>
      </c>
      <c r="F314">
        <v>203</v>
      </c>
      <c r="G314" t="s">
        <v>20</v>
      </c>
      <c r="H314" s="39" t="s">
        <v>21</v>
      </c>
      <c r="I314">
        <v>2</v>
      </c>
      <c r="J314">
        <v>902500</v>
      </c>
      <c r="K314">
        <v>620000</v>
      </c>
      <c r="L314">
        <v>1805000</v>
      </c>
      <c r="M314">
        <v>565000</v>
      </c>
    </row>
    <row r="315" spans="1:13" x14ac:dyDescent="0.3">
      <c r="A315">
        <v>366</v>
      </c>
      <c r="B315" s="1">
        <v>46147</v>
      </c>
      <c r="C315">
        <v>106</v>
      </c>
      <c r="D315" t="s">
        <v>29</v>
      </c>
      <c r="E315" t="s">
        <v>28</v>
      </c>
      <c r="F315">
        <v>202</v>
      </c>
      <c r="G315" t="s">
        <v>19</v>
      </c>
      <c r="H315" s="39" t="s">
        <v>18</v>
      </c>
      <c r="I315">
        <v>5</v>
      </c>
      <c r="J315">
        <v>2800000</v>
      </c>
      <c r="K315">
        <v>2100000</v>
      </c>
      <c r="L315">
        <v>14000000</v>
      </c>
      <c r="M315">
        <v>3500000</v>
      </c>
    </row>
    <row r="316" spans="1:13" x14ac:dyDescent="0.3">
      <c r="A316">
        <v>369</v>
      </c>
      <c r="B316" s="1">
        <v>46148</v>
      </c>
      <c r="C316">
        <v>106</v>
      </c>
      <c r="D316" t="s">
        <v>29</v>
      </c>
      <c r="E316" t="s">
        <v>28</v>
      </c>
      <c r="F316">
        <v>206</v>
      </c>
      <c r="G316" t="s">
        <v>15</v>
      </c>
      <c r="H316" s="39" t="s">
        <v>16</v>
      </c>
      <c r="I316">
        <v>4</v>
      </c>
      <c r="J316">
        <v>3395000</v>
      </c>
      <c r="K316">
        <v>2350000</v>
      </c>
      <c r="L316">
        <v>13580000</v>
      </c>
      <c r="M316">
        <v>4180000</v>
      </c>
    </row>
    <row r="317" spans="1:13" x14ac:dyDescent="0.3">
      <c r="A317">
        <v>370</v>
      </c>
      <c r="B317" s="1">
        <v>46148</v>
      </c>
      <c r="C317">
        <v>106</v>
      </c>
      <c r="D317" t="s">
        <v>29</v>
      </c>
      <c r="E317" t="s">
        <v>28</v>
      </c>
      <c r="F317">
        <v>205</v>
      </c>
      <c r="G317" t="s">
        <v>23</v>
      </c>
      <c r="H317" s="39" t="s">
        <v>16</v>
      </c>
      <c r="I317">
        <v>2</v>
      </c>
      <c r="J317">
        <v>2200000</v>
      </c>
      <c r="K317">
        <v>1450000</v>
      </c>
      <c r="L317">
        <v>4400000</v>
      </c>
      <c r="M317">
        <v>1500000</v>
      </c>
    </row>
    <row r="318" spans="1:13" x14ac:dyDescent="0.3">
      <c r="A318">
        <v>391</v>
      </c>
      <c r="B318" s="1">
        <v>46155</v>
      </c>
      <c r="C318">
        <v>106</v>
      </c>
      <c r="D318" t="s">
        <v>29</v>
      </c>
      <c r="E318" t="s">
        <v>28</v>
      </c>
      <c r="F318">
        <v>203</v>
      </c>
      <c r="G318" t="s">
        <v>20</v>
      </c>
      <c r="H318" s="39" t="s">
        <v>21</v>
      </c>
      <c r="I318">
        <v>1</v>
      </c>
      <c r="J318">
        <v>902500</v>
      </c>
      <c r="K318">
        <v>620000</v>
      </c>
      <c r="L318">
        <v>902500</v>
      </c>
      <c r="M318">
        <v>282500</v>
      </c>
    </row>
    <row r="319" spans="1:13" x14ac:dyDescent="0.3">
      <c r="A319">
        <v>396</v>
      </c>
      <c r="B319" s="1">
        <v>46156</v>
      </c>
      <c r="C319">
        <v>106</v>
      </c>
      <c r="D319" t="s">
        <v>29</v>
      </c>
      <c r="E319" t="s">
        <v>28</v>
      </c>
      <c r="F319">
        <v>204</v>
      </c>
      <c r="G319" t="s">
        <v>22</v>
      </c>
      <c r="H319" s="39" t="s">
        <v>21</v>
      </c>
      <c r="I319">
        <v>5</v>
      </c>
      <c r="J319">
        <v>522500</v>
      </c>
      <c r="K319">
        <v>330000</v>
      </c>
      <c r="L319">
        <v>2612500</v>
      </c>
      <c r="M319">
        <v>962500</v>
      </c>
    </row>
    <row r="320" spans="1:13" x14ac:dyDescent="0.3">
      <c r="A320">
        <v>398</v>
      </c>
      <c r="B320" s="1">
        <v>46157</v>
      </c>
      <c r="C320">
        <v>106</v>
      </c>
      <c r="D320" t="s">
        <v>29</v>
      </c>
      <c r="E320" t="s">
        <v>28</v>
      </c>
      <c r="F320">
        <v>205</v>
      </c>
      <c r="G320" t="s">
        <v>23</v>
      </c>
      <c r="H320" s="39" t="s">
        <v>16</v>
      </c>
      <c r="I320">
        <v>3</v>
      </c>
      <c r="J320">
        <v>2024000</v>
      </c>
      <c r="K320">
        <v>1450000</v>
      </c>
      <c r="L320">
        <v>6072000</v>
      </c>
      <c r="M320">
        <v>1722000</v>
      </c>
    </row>
    <row r="321" spans="1:13" x14ac:dyDescent="0.3">
      <c r="A321">
        <v>405</v>
      </c>
      <c r="B321" s="1">
        <v>46159</v>
      </c>
      <c r="C321">
        <v>106</v>
      </c>
      <c r="D321" t="s">
        <v>29</v>
      </c>
      <c r="E321" t="s">
        <v>28</v>
      </c>
      <c r="F321">
        <v>203</v>
      </c>
      <c r="G321" t="s">
        <v>20</v>
      </c>
      <c r="H321" s="39" t="s">
        <v>21</v>
      </c>
      <c r="I321">
        <v>4</v>
      </c>
      <c r="J321">
        <v>921500</v>
      </c>
      <c r="K321">
        <v>620000</v>
      </c>
      <c r="L321">
        <v>3686000</v>
      </c>
      <c r="M321">
        <v>1206000</v>
      </c>
    </row>
    <row r="322" spans="1:13" x14ac:dyDescent="0.3">
      <c r="A322">
        <v>437</v>
      </c>
      <c r="B322" s="1">
        <v>46172</v>
      </c>
      <c r="C322">
        <v>106</v>
      </c>
      <c r="D322" t="s">
        <v>29</v>
      </c>
      <c r="E322" t="s">
        <v>28</v>
      </c>
      <c r="F322">
        <v>201</v>
      </c>
      <c r="G322" t="s">
        <v>17</v>
      </c>
      <c r="H322" s="39" t="s">
        <v>18</v>
      </c>
      <c r="I322">
        <v>5</v>
      </c>
      <c r="J322">
        <v>8075000</v>
      </c>
      <c r="K322">
        <v>6800000</v>
      </c>
      <c r="L322">
        <v>40375000</v>
      </c>
      <c r="M322">
        <v>6375000</v>
      </c>
    </row>
    <row r="323" spans="1:13" x14ac:dyDescent="0.3">
      <c r="A323">
        <v>438</v>
      </c>
      <c r="B323" s="1">
        <v>46173</v>
      </c>
      <c r="C323">
        <v>106</v>
      </c>
      <c r="D323" t="s">
        <v>29</v>
      </c>
      <c r="E323" t="s">
        <v>28</v>
      </c>
      <c r="F323">
        <v>203</v>
      </c>
      <c r="G323" t="s">
        <v>20</v>
      </c>
      <c r="H323" s="39" t="s">
        <v>21</v>
      </c>
      <c r="I323">
        <v>3</v>
      </c>
      <c r="J323">
        <v>902500</v>
      </c>
      <c r="K323">
        <v>620000</v>
      </c>
      <c r="L323">
        <v>2707500</v>
      </c>
      <c r="M323">
        <v>847500</v>
      </c>
    </row>
    <row r="324" spans="1:13" x14ac:dyDescent="0.3">
      <c r="A324">
        <v>439</v>
      </c>
      <c r="B324" s="1">
        <v>46173</v>
      </c>
      <c r="C324">
        <v>106</v>
      </c>
      <c r="D324" t="s">
        <v>29</v>
      </c>
      <c r="E324" t="s">
        <v>28</v>
      </c>
      <c r="F324">
        <v>202</v>
      </c>
      <c r="G324" t="s">
        <v>19</v>
      </c>
      <c r="H324" s="39" t="s">
        <v>18</v>
      </c>
      <c r="I324">
        <v>2</v>
      </c>
      <c r="J324">
        <v>2800000</v>
      </c>
      <c r="K324">
        <v>2100000</v>
      </c>
      <c r="L324">
        <v>5600000</v>
      </c>
      <c r="M324">
        <v>1400000</v>
      </c>
    </row>
    <row r="325" spans="1:13" x14ac:dyDescent="0.3">
      <c r="A325">
        <v>455</v>
      </c>
      <c r="B325" s="1">
        <v>46179</v>
      </c>
      <c r="C325">
        <v>106</v>
      </c>
      <c r="D325" t="s">
        <v>29</v>
      </c>
      <c r="E325" t="s">
        <v>28</v>
      </c>
      <c r="F325">
        <v>203</v>
      </c>
      <c r="G325" t="s">
        <v>20</v>
      </c>
      <c r="H325" s="39" t="s">
        <v>21</v>
      </c>
      <c r="I325">
        <v>3</v>
      </c>
      <c r="J325">
        <v>950000</v>
      </c>
      <c r="K325">
        <v>620000</v>
      </c>
      <c r="L325">
        <v>2850000</v>
      </c>
      <c r="M325">
        <v>990000</v>
      </c>
    </row>
    <row r="326" spans="1:13" x14ac:dyDescent="0.3">
      <c r="A326">
        <v>457</v>
      </c>
      <c r="B326" s="1">
        <v>46179</v>
      </c>
      <c r="C326">
        <v>106</v>
      </c>
      <c r="D326" t="s">
        <v>29</v>
      </c>
      <c r="E326" t="s">
        <v>28</v>
      </c>
      <c r="F326">
        <v>204</v>
      </c>
      <c r="G326" t="s">
        <v>22</v>
      </c>
      <c r="H326" s="39" t="s">
        <v>21</v>
      </c>
      <c r="I326">
        <v>1</v>
      </c>
      <c r="J326">
        <v>506000</v>
      </c>
      <c r="K326">
        <v>330000</v>
      </c>
      <c r="L326">
        <v>506000</v>
      </c>
      <c r="M326">
        <v>176000</v>
      </c>
    </row>
    <row r="327" spans="1:13" x14ac:dyDescent="0.3">
      <c r="A327">
        <v>458</v>
      </c>
      <c r="B327" s="1">
        <v>46179</v>
      </c>
      <c r="C327">
        <v>106</v>
      </c>
      <c r="D327" t="s">
        <v>29</v>
      </c>
      <c r="E327" t="s">
        <v>28</v>
      </c>
      <c r="F327">
        <v>205</v>
      </c>
      <c r="G327" t="s">
        <v>23</v>
      </c>
      <c r="H327" s="39" t="s">
        <v>16</v>
      </c>
      <c r="I327">
        <v>5</v>
      </c>
      <c r="J327">
        <v>2200000</v>
      </c>
      <c r="K327">
        <v>1450000</v>
      </c>
      <c r="L327">
        <v>11000000</v>
      </c>
      <c r="M327">
        <v>3750000</v>
      </c>
    </row>
    <row r="328" spans="1:13" x14ac:dyDescent="0.3">
      <c r="A328">
        <v>460</v>
      </c>
      <c r="B328" s="1">
        <v>46180</v>
      </c>
      <c r="C328">
        <v>106</v>
      </c>
      <c r="D328" t="s">
        <v>29</v>
      </c>
      <c r="E328" t="s">
        <v>28</v>
      </c>
      <c r="F328">
        <v>205</v>
      </c>
      <c r="G328" t="s">
        <v>23</v>
      </c>
      <c r="H328" s="39" t="s">
        <v>16</v>
      </c>
      <c r="I328">
        <v>1</v>
      </c>
      <c r="J328">
        <v>2090000</v>
      </c>
      <c r="K328">
        <v>1450000</v>
      </c>
      <c r="L328">
        <v>2090000</v>
      </c>
      <c r="M328">
        <v>640000</v>
      </c>
    </row>
    <row r="329" spans="1:13" x14ac:dyDescent="0.3">
      <c r="A329">
        <v>473</v>
      </c>
      <c r="B329" s="1">
        <v>46184</v>
      </c>
      <c r="C329">
        <v>106</v>
      </c>
      <c r="D329" t="s">
        <v>29</v>
      </c>
      <c r="E329" t="s">
        <v>28</v>
      </c>
      <c r="F329">
        <v>202</v>
      </c>
      <c r="G329" t="s">
        <v>19</v>
      </c>
      <c r="H329" s="39" t="s">
        <v>18</v>
      </c>
      <c r="I329">
        <v>2</v>
      </c>
      <c r="J329">
        <v>2716000</v>
      </c>
      <c r="K329">
        <v>2100000</v>
      </c>
      <c r="L329">
        <v>5432000</v>
      </c>
      <c r="M329">
        <v>1232000</v>
      </c>
    </row>
    <row r="330" spans="1:13" x14ac:dyDescent="0.3">
      <c r="A330">
        <v>474</v>
      </c>
      <c r="B330" s="1">
        <v>46185</v>
      </c>
      <c r="C330">
        <v>106</v>
      </c>
      <c r="D330" t="s">
        <v>29</v>
      </c>
      <c r="E330" t="s">
        <v>28</v>
      </c>
      <c r="F330">
        <v>203</v>
      </c>
      <c r="G330" t="s">
        <v>20</v>
      </c>
      <c r="H330" s="39" t="s">
        <v>21</v>
      </c>
      <c r="I330">
        <v>4</v>
      </c>
      <c r="J330">
        <v>902500</v>
      </c>
      <c r="K330">
        <v>620000</v>
      </c>
      <c r="L330">
        <v>3610000</v>
      </c>
      <c r="M330">
        <v>1130000</v>
      </c>
    </row>
    <row r="331" spans="1:13" x14ac:dyDescent="0.3">
      <c r="A331">
        <v>477</v>
      </c>
      <c r="B331" s="1">
        <v>46185</v>
      </c>
      <c r="C331">
        <v>106</v>
      </c>
      <c r="D331" t="s">
        <v>29</v>
      </c>
      <c r="E331" t="s">
        <v>28</v>
      </c>
      <c r="F331">
        <v>206</v>
      </c>
      <c r="G331" t="s">
        <v>15</v>
      </c>
      <c r="H331" s="39" t="s">
        <v>16</v>
      </c>
      <c r="I331">
        <v>2</v>
      </c>
      <c r="J331">
        <v>3395000</v>
      </c>
      <c r="K331">
        <v>2350000</v>
      </c>
      <c r="L331">
        <v>6790000</v>
      </c>
      <c r="M331">
        <v>2090000</v>
      </c>
    </row>
    <row r="332" spans="1:13" x14ac:dyDescent="0.3">
      <c r="A332">
        <v>478</v>
      </c>
      <c r="B332" s="1">
        <v>46186</v>
      </c>
      <c r="C332">
        <v>106</v>
      </c>
      <c r="D332" t="s">
        <v>29</v>
      </c>
      <c r="E332" t="s">
        <v>28</v>
      </c>
      <c r="F332">
        <v>203</v>
      </c>
      <c r="G332" t="s">
        <v>20</v>
      </c>
      <c r="H332" s="39" t="s">
        <v>21</v>
      </c>
      <c r="I332">
        <v>2</v>
      </c>
      <c r="J332">
        <v>902500</v>
      </c>
      <c r="K332">
        <v>620000</v>
      </c>
      <c r="L332">
        <v>1805000</v>
      </c>
      <c r="M332">
        <v>565000</v>
      </c>
    </row>
    <row r="333" spans="1:13" x14ac:dyDescent="0.3">
      <c r="A333">
        <v>489</v>
      </c>
      <c r="B333" s="1">
        <v>46190</v>
      </c>
      <c r="C333">
        <v>106</v>
      </c>
      <c r="D333" t="s">
        <v>29</v>
      </c>
      <c r="E333" t="s">
        <v>28</v>
      </c>
      <c r="F333">
        <v>205</v>
      </c>
      <c r="G333" t="s">
        <v>23</v>
      </c>
      <c r="H333" s="39" t="s">
        <v>16</v>
      </c>
      <c r="I333">
        <v>5</v>
      </c>
      <c r="J333">
        <v>2090000</v>
      </c>
      <c r="K333">
        <v>1450000</v>
      </c>
      <c r="L333">
        <v>10450000</v>
      </c>
      <c r="M333">
        <v>3200000</v>
      </c>
    </row>
    <row r="334" spans="1:13" x14ac:dyDescent="0.3">
      <c r="A334">
        <v>491</v>
      </c>
      <c r="B334" s="1">
        <v>46190</v>
      </c>
      <c r="C334">
        <v>106</v>
      </c>
      <c r="D334" t="s">
        <v>29</v>
      </c>
      <c r="E334" t="s">
        <v>28</v>
      </c>
      <c r="F334">
        <v>201</v>
      </c>
      <c r="G334" t="s">
        <v>17</v>
      </c>
      <c r="H334" s="39" t="s">
        <v>18</v>
      </c>
      <c r="I334">
        <v>2</v>
      </c>
      <c r="J334">
        <v>8075000</v>
      </c>
      <c r="K334">
        <v>6800000</v>
      </c>
      <c r="L334">
        <v>16150000</v>
      </c>
      <c r="M334">
        <v>2550000</v>
      </c>
    </row>
    <row r="335" spans="1:13" x14ac:dyDescent="0.3">
      <c r="A335">
        <v>494</v>
      </c>
      <c r="B335" s="1">
        <v>46191</v>
      </c>
      <c r="C335">
        <v>106</v>
      </c>
      <c r="D335" t="s">
        <v>29</v>
      </c>
      <c r="E335" t="s">
        <v>28</v>
      </c>
      <c r="F335">
        <v>206</v>
      </c>
      <c r="G335" t="s">
        <v>15</v>
      </c>
      <c r="H335" s="39" t="s">
        <v>16</v>
      </c>
      <c r="I335">
        <v>5</v>
      </c>
      <c r="J335">
        <v>3325000</v>
      </c>
      <c r="K335">
        <v>2350000</v>
      </c>
      <c r="L335">
        <v>16625000</v>
      </c>
      <c r="M335">
        <v>4875000</v>
      </c>
    </row>
    <row r="336" spans="1:13" x14ac:dyDescent="0.3">
      <c r="A336">
        <v>498</v>
      </c>
      <c r="B336" s="1">
        <v>46192</v>
      </c>
      <c r="C336">
        <v>106</v>
      </c>
      <c r="D336" t="s">
        <v>29</v>
      </c>
      <c r="E336" t="s">
        <v>28</v>
      </c>
      <c r="F336">
        <v>205</v>
      </c>
      <c r="G336" t="s">
        <v>23</v>
      </c>
      <c r="H336" s="39" t="s">
        <v>16</v>
      </c>
      <c r="I336">
        <v>2</v>
      </c>
      <c r="J336">
        <v>2024000</v>
      </c>
      <c r="K336">
        <v>1450000</v>
      </c>
      <c r="L336">
        <v>4048000</v>
      </c>
      <c r="M336">
        <v>1148000</v>
      </c>
    </row>
    <row r="337" spans="1:13" x14ac:dyDescent="0.3">
      <c r="A337">
        <v>503</v>
      </c>
      <c r="B337" s="1">
        <v>46193</v>
      </c>
      <c r="C337">
        <v>106</v>
      </c>
      <c r="D337" t="s">
        <v>29</v>
      </c>
      <c r="E337" t="s">
        <v>28</v>
      </c>
      <c r="F337">
        <v>203</v>
      </c>
      <c r="G337" t="s">
        <v>20</v>
      </c>
      <c r="H337" s="39" t="s">
        <v>21</v>
      </c>
      <c r="I337">
        <v>4</v>
      </c>
      <c r="J337">
        <v>950000</v>
      </c>
      <c r="K337">
        <v>620000</v>
      </c>
      <c r="L337">
        <v>3800000</v>
      </c>
      <c r="M337">
        <v>1320000</v>
      </c>
    </row>
    <row r="338" spans="1:13" x14ac:dyDescent="0.3">
      <c r="A338">
        <v>504</v>
      </c>
      <c r="B338" s="1">
        <v>46194</v>
      </c>
      <c r="C338">
        <v>106</v>
      </c>
      <c r="D338" t="s">
        <v>29</v>
      </c>
      <c r="E338" t="s">
        <v>28</v>
      </c>
      <c r="F338">
        <v>204</v>
      </c>
      <c r="G338" t="s">
        <v>22</v>
      </c>
      <c r="H338" s="39" t="s">
        <v>21</v>
      </c>
      <c r="I338">
        <v>2</v>
      </c>
      <c r="J338">
        <v>533500</v>
      </c>
      <c r="K338">
        <v>330000</v>
      </c>
      <c r="L338">
        <v>1067000</v>
      </c>
      <c r="M338">
        <v>407000</v>
      </c>
    </row>
    <row r="339" spans="1:13" x14ac:dyDescent="0.3">
      <c r="A339">
        <v>515</v>
      </c>
      <c r="B339" s="1">
        <v>46197</v>
      </c>
      <c r="C339">
        <v>106</v>
      </c>
      <c r="D339" t="s">
        <v>29</v>
      </c>
      <c r="E339" t="s">
        <v>28</v>
      </c>
      <c r="F339">
        <v>201</v>
      </c>
      <c r="G339" t="s">
        <v>17</v>
      </c>
      <c r="H339" s="39" t="s">
        <v>18</v>
      </c>
      <c r="I339">
        <v>5</v>
      </c>
      <c r="J339">
        <v>8500000</v>
      </c>
      <c r="K339">
        <v>6800000</v>
      </c>
      <c r="L339">
        <v>42500000</v>
      </c>
      <c r="M339">
        <v>8500000</v>
      </c>
    </row>
    <row r="340" spans="1:13" x14ac:dyDescent="0.3">
      <c r="A340">
        <v>6</v>
      </c>
      <c r="B340" s="1">
        <v>46026</v>
      </c>
      <c r="C340">
        <v>108</v>
      </c>
      <c r="D340" t="s">
        <v>30</v>
      </c>
      <c r="E340" t="s">
        <v>31</v>
      </c>
      <c r="F340">
        <v>205</v>
      </c>
      <c r="G340" t="s">
        <v>23</v>
      </c>
      <c r="H340" s="39" t="s">
        <v>16</v>
      </c>
      <c r="I340">
        <v>4</v>
      </c>
      <c r="J340">
        <v>2134000</v>
      </c>
      <c r="K340">
        <v>1450000</v>
      </c>
      <c r="L340">
        <v>8536000</v>
      </c>
      <c r="M340">
        <v>2736000</v>
      </c>
    </row>
    <row r="341" spans="1:13" x14ac:dyDescent="0.3">
      <c r="A341">
        <v>11</v>
      </c>
      <c r="B341" s="1">
        <v>46028</v>
      </c>
      <c r="C341">
        <v>108</v>
      </c>
      <c r="D341" t="s">
        <v>30</v>
      </c>
      <c r="E341" t="s">
        <v>31</v>
      </c>
      <c r="F341">
        <v>203</v>
      </c>
      <c r="G341" t="s">
        <v>20</v>
      </c>
      <c r="H341" s="39" t="s">
        <v>21</v>
      </c>
      <c r="I341">
        <v>5</v>
      </c>
      <c r="J341">
        <v>902500</v>
      </c>
      <c r="K341">
        <v>620000</v>
      </c>
      <c r="L341">
        <v>4512500</v>
      </c>
      <c r="M341">
        <v>1412500</v>
      </c>
    </row>
    <row r="342" spans="1:13" x14ac:dyDescent="0.3">
      <c r="A342">
        <v>33</v>
      </c>
      <c r="B342" s="1">
        <v>46035</v>
      </c>
      <c r="C342">
        <v>108</v>
      </c>
      <c r="D342" t="s">
        <v>30</v>
      </c>
      <c r="E342" t="s">
        <v>31</v>
      </c>
      <c r="F342">
        <v>202</v>
      </c>
      <c r="G342" t="s">
        <v>19</v>
      </c>
      <c r="H342" s="39" t="s">
        <v>18</v>
      </c>
      <c r="I342">
        <v>2</v>
      </c>
      <c r="J342">
        <v>2716000</v>
      </c>
      <c r="K342">
        <v>2100000</v>
      </c>
      <c r="L342">
        <v>5432000</v>
      </c>
      <c r="M342">
        <v>1232000</v>
      </c>
    </row>
    <row r="343" spans="1:13" x14ac:dyDescent="0.3">
      <c r="A343">
        <v>71</v>
      </c>
      <c r="B343" s="1">
        <v>46046</v>
      </c>
      <c r="C343">
        <v>108</v>
      </c>
      <c r="D343" t="s">
        <v>30</v>
      </c>
      <c r="E343" t="s">
        <v>31</v>
      </c>
      <c r="F343">
        <v>204</v>
      </c>
      <c r="G343" t="s">
        <v>22</v>
      </c>
      <c r="H343" s="39" t="s">
        <v>21</v>
      </c>
      <c r="I343">
        <v>1</v>
      </c>
      <c r="J343">
        <v>533500</v>
      </c>
      <c r="K343">
        <v>330000</v>
      </c>
      <c r="L343">
        <v>533500</v>
      </c>
      <c r="M343">
        <v>203500</v>
      </c>
    </row>
    <row r="344" spans="1:13" x14ac:dyDescent="0.3">
      <c r="A344">
        <v>81</v>
      </c>
      <c r="B344" s="1">
        <v>46050</v>
      </c>
      <c r="C344">
        <v>108</v>
      </c>
      <c r="D344" t="s">
        <v>30</v>
      </c>
      <c r="E344" t="s">
        <v>31</v>
      </c>
      <c r="F344">
        <v>202</v>
      </c>
      <c r="G344" t="s">
        <v>19</v>
      </c>
      <c r="H344" s="39" t="s">
        <v>18</v>
      </c>
      <c r="I344">
        <v>1</v>
      </c>
      <c r="J344">
        <v>2660000</v>
      </c>
      <c r="K344">
        <v>2100000</v>
      </c>
      <c r="L344">
        <v>2660000</v>
      </c>
      <c r="M344">
        <v>560000</v>
      </c>
    </row>
    <row r="345" spans="1:13" x14ac:dyDescent="0.3">
      <c r="A345">
        <v>89</v>
      </c>
      <c r="B345" s="1">
        <v>46052</v>
      </c>
      <c r="C345">
        <v>108</v>
      </c>
      <c r="D345" t="s">
        <v>30</v>
      </c>
      <c r="E345" t="s">
        <v>31</v>
      </c>
      <c r="F345">
        <v>206</v>
      </c>
      <c r="G345" t="s">
        <v>15</v>
      </c>
      <c r="H345" s="39" t="s">
        <v>16</v>
      </c>
      <c r="I345">
        <v>2</v>
      </c>
      <c r="J345">
        <v>3500000</v>
      </c>
      <c r="K345">
        <v>2350000</v>
      </c>
      <c r="L345">
        <v>7000000</v>
      </c>
      <c r="M345">
        <v>2300000</v>
      </c>
    </row>
    <row r="346" spans="1:13" x14ac:dyDescent="0.3">
      <c r="A346">
        <v>94</v>
      </c>
      <c r="B346" s="1">
        <v>46054</v>
      </c>
      <c r="C346">
        <v>108</v>
      </c>
      <c r="D346" t="s">
        <v>30</v>
      </c>
      <c r="E346" t="s">
        <v>31</v>
      </c>
      <c r="F346">
        <v>203</v>
      </c>
      <c r="G346" t="s">
        <v>20</v>
      </c>
      <c r="H346" s="39" t="s">
        <v>21</v>
      </c>
      <c r="I346">
        <v>3</v>
      </c>
      <c r="J346">
        <v>921500</v>
      </c>
      <c r="K346">
        <v>620000</v>
      </c>
      <c r="L346">
        <v>2764500</v>
      </c>
      <c r="M346">
        <v>904500</v>
      </c>
    </row>
    <row r="347" spans="1:13" x14ac:dyDescent="0.3">
      <c r="A347">
        <v>97</v>
      </c>
      <c r="B347" s="1">
        <v>46055</v>
      </c>
      <c r="C347">
        <v>108</v>
      </c>
      <c r="D347" t="s">
        <v>30</v>
      </c>
      <c r="E347" t="s">
        <v>31</v>
      </c>
      <c r="F347">
        <v>201</v>
      </c>
      <c r="G347" t="s">
        <v>17</v>
      </c>
      <c r="H347" s="39" t="s">
        <v>18</v>
      </c>
      <c r="I347">
        <v>2</v>
      </c>
      <c r="J347">
        <v>8075000</v>
      </c>
      <c r="K347">
        <v>6800000</v>
      </c>
      <c r="L347">
        <v>16150000</v>
      </c>
      <c r="M347">
        <v>2550000</v>
      </c>
    </row>
    <row r="348" spans="1:13" x14ac:dyDescent="0.3">
      <c r="A348">
        <v>105</v>
      </c>
      <c r="B348" s="1">
        <v>46057</v>
      </c>
      <c r="C348">
        <v>108</v>
      </c>
      <c r="D348" t="s">
        <v>30</v>
      </c>
      <c r="E348" t="s">
        <v>31</v>
      </c>
      <c r="F348">
        <v>206</v>
      </c>
      <c r="G348" t="s">
        <v>15</v>
      </c>
      <c r="H348" s="39" t="s">
        <v>16</v>
      </c>
      <c r="I348">
        <v>3</v>
      </c>
      <c r="J348">
        <v>3500000</v>
      </c>
      <c r="K348">
        <v>2350000</v>
      </c>
      <c r="L348">
        <v>10500000</v>
      </c>
      <c r="M348">
        <v>3450000</v>
      </c>
    </row>
    <row r="349" spans="1:13" x14ac:dyDescent="0.3">
      <c r="A349">
        <v>114</v>
      </c>
      <c r="B349" s="1">
        <v>46061</v>
      </c>
      <c r="C349">
        <v>108</v>
      </c>
      <c r="D349" t="s">
        <v>30</v>
      </c>
      <c r="E349" t="s">
        <v>31</v>
      </c>
      <c r="F349">
        <v>206</v>
      </c>
      <c r="G349" t="s">
        <v>15</v>
      </c>
      <c r="H349" s="39" t="s">
        <v>16</v>
      </c>
      <c r="I349">
        <v>4</v>
      </c>
      <c r="J349">
        <v>3325000</v>
      </c>
      <c r="K349">
        <v>2350000</v>
      </c>
      <c r="L349">
        <v>13300000</v>
      </c>
      <c r="M349">
        <v>3900000</v>
      </c>
    </row>
    <row r="350" spans="1:13" x14ac:dyDescent="0.3">
      <c r="A350">
        <v>116</v>
      </c>
      <c r="B350" s="1">
        <v>46061</v>
      </c>
      <c r="C350">
        <v>108</v>
      </c>
      <c r="D350" t="s">
        <v>30</v>
      </c>
      <c r="E350" t="s">
        <v>31</v>
      </c>
      <c r="F350">
        <v>203</v>
      </c>
      <c r="G350" t="s">
        <v>20</v>
      </c>
      <c r="H350" s="39" t="s">
        <v>21</v>
      </c>
      <c r="I350">
        <v>1</v>
      </c>
      <c r="J350">
        <v>902500</v>
      </c>
      <c r="K350">
        <v>620000</v>
      </c>
      <c r="L350">
        <v>902500</v>
      </c>
      <c r="M350">
        <v>282500</v>
      </c>
    </row>
    <row r="351" spans="1:13" x14ac:dyDescent="0.3">
      <c r="A351">
        <v>123</v>
      </c>
      <c r="B351" s="1">
        <v>46063</v>
      </c>
      <c r="C351">
        <v>108</v>
      </c>
      <c r="D351" t="s">
        <v>30</v>
      </c>
      <c r="E351" t="s">
        <v>31</v>
      </c>
      <c r="F351">
        <v>206</v>
      </c>
      <c r="G351" t="s">
        <v>15</v>
      </c>
      <c r="H351" s="39" t="s">
        <v>16</v>
      </c>
      <c r="I351">
        <v>3</v>
      </c>
      <c r="J351">
        <v>3500000</v>
      </c>
      <c r="K351">
        <v>2350000</v>
      </c>
      <c r="L351">
        <v>10500000</v>
      </c>
      <c r="M351">
        <v>3450000</v>
      </c>
    </row>
    <row r="352" spans="1:13" x14ac:dyDescent="0.3">
      <c r="A352">
        <v>136</v>
      </c>
      <c r="B352" s="1">
        <v>46068</v>
      </c>
      <c r="C352">
        <v>108</v>
      </c>
      <c r="D352" t="s">
        <v>30</v>
      </c>
      <c r="E352" t="s">
        <v>31</v>
      </c>
      <c r="F352">
        <v>205</v>
      </c>
      <c r="G352" t="s">
        <v>23</v>
      </c>
      <c r="H352" s="39" t="s">
        <v>16</v>
      </c>
      <c r="I352">
        <v>1</v>
      </c>
      <c r="J352">
        <v>2024000</v>
      </c>
      <c r="K352">
        <v>1450000</v>
      </c>
      <c r="L352">
        <v>2024000</v>
      </c>
      <c r="M352">
        <v>574000</v>
      </c>
    </row>
    <row r="353" spans="1:13" x14ac:dyDescent="0.3">
      <c r="A353">
        <v>149</v>
      </c>
      <c r="B353" s="1">
        <v>46072</v>
      </c>
      <c r="C353">
        <v>108</v>
      </c>
      <c r="D353" t="s">
        <v>30</v>
      </c>
      <c r="E353" t="s">
        <v>31</v>
      </c>
      <c r="F353">
        <v>206</v>
      </c>
      <c r="G353" t="s">
        <v>15</v>
      </c>
      <c r="H353" s="39" t="s">
        <v>16</v>
      </c>
      <c r="I353">
        <v>3</v>
      </c>
      <c r="J353">
        <v>3220000</v>
      </c>
      <c r="K353">
        <v>2350000</v>
      </c>
      <c r="L353">
        <v>9660000</v>
      </c>
      <c r="M353">
        <v>2610000</v>
      </c>
    </row>
    <row r="354" spans="1:13" x14ac:dyDescent="0.3">
      <c r="A354">
        <v>158</v>
      </c>
      <c r="B354" s="1">
        <v>46074</v>
      </c>
      <c r="C354">
        <v>108</v>
      </c>
      <c r="D354" t="s">
        <v>30</v>
      </c>
      <c r="E354" t="s">
        <v>31</v>
      </c>
      <c r="F354">
        <v>205</v>
      </c>
      <c r="G354" t="s">
        <v>23</v>
      </c>
      <c r="H354" s="39" t="s">
        <v>16</v>
      </c>
      <c r="I354">
        <v>1</v>
      </c>
      <c r="J354">
        <v>2024000</v>
      </c>
      <c r="K354">
        <v>1450000</v>
      </c>
      <c r="L354">
        <v>2024000</v>
      </c>
      <c r="M354">
        <v>574000</v>
      </c>
    </row>
    <row r="355" spans="1:13" x14ac:dyDescent="0.3">
      <c r="A355">
        <v>159</v>
      </c>
      <c r="B355" s="1">
        <v>46074</v>
      </c>
      <c r="C355">
        <v>108</v>
      </c>
      <c r="D355" t="s">
        <v>30</v>
      </c>
      <c r="E355" t="s">
        <v>31</v>
      </c>
      <c r="F355">
        <v>202</v>
      </c>
      <c r="G355" t="s">
        <v>19</v>
      </c>
      <c r="H355" s="39" t="s">
        <v>18</v>
      </c>
      <c r="I355">
        <v>5</v>
      </c>
      <c r="J355">
        <v>2716000</v>
      </c>
      <c r="K355">
        <v>2100000</v>
      </c>
      <c r="L355">
        <v>13580000</v>
      </c>
      <c r="M355">
        <v>3080000</v>
      </c>
    </row>
    <row r="356" spans="1:13" x14ac:dyDescent="0.3">
      <c r="A356">
        <v>161</v>
      </c>
      <c r="B356" s="1">
        <v>46075</v>
      </c>
      <c r="C356">
        <v>108</v>
      </c>
      <c r="D356" t="s">
        <v>30</v>
      </c>
      <c r="E356" t="s">
        <v>31</v>
      </c>
      <c r="F356">
        <v>206</v>
      </c>
      <c r="G356" t="s">
        <v>15</v>
      </c>
      <c r="H356" s="39" t="s">
        <v>16</v>
      </c>
      <c r="I356">
        <v>1</v>
      </c>
      <c r="J356">
        <v>3395000</v>
      </c>
      <c r="K356">
        <v>2350000</v>
      </c>
      <c r="L356">
        <v>3395000</v>
      </c>
      <c r="M356">
        <v>1045000</v>
      </c>
    </row>
    <row r="357" spans="1:13" x14ac:dyDescent="0.3">
      <c r="A357">
        <v>166</v>
      </c>
      <c r="B357" s="1">
        <v>46077</v>
      </c>
      <c r="C357">
        <v>108</v>
      </c>
      <c r="D357" t="s">
        <v>30</v>
      </c>
      <c r="E357" t="s">
        <v>31</v>
      </c>
      <c r="F357">
        <v>205</v>
      </c>
      <c r="G357" t="s">
        <v>23</v>
      </c>
      <c r="H357" s="39" t="s">
        <v>16</v>
      </c>
      <c r="I357">
        <v>3</v>
      </c>
      <c r="J357">
        <v>2134000</v>
      </c>
      <c r="K357">
        <v>1450000</v>
      </c>
      <c r="L357">
        <v>6402000</v>
      </c>
      <c r="M357">
        <v>2052000</v>
      </c>
    </row>
    <row r="358" spans="1:13" x14ac:dyDescent="0.3">
      <c r="A358">
        <v>172</v>
      </c>
      <c r="B358" s="1">
        <v>46078</v>
      </c>
      <c r="C358">
        <v>108</v>
      </c>
      <c r="D358" t="s">
        <v>30</v>
      </c>
      <c r="E358" t="s">
        <v>31</v>
      </c>
      <c r="F358">
        <v>205</v>
      </c>
      <c r="G358" t="s">
        <v>23</v>
      </c>
      <c r="H358" s="39" t="s">
        <v>16</v>
      </c>
      <c r="I358">
        <v>4</v>
      </c>
      <c r="J358">
        <v>2090000</v>
      </c>
      <c r="K358">
        <v>1450000</v>
      </c>
      <c r="L358">
        <v>8360000</v>
      </c>
      <c r="M358">
        <v>2560000</v>
      </c>
    </row>
    <row r="359" spans="1:13" x14ac:dyDescent="0.3">
      <c r="A359">
        <v>195</v>
      </c>
      <c r="B359" s="1">
        <v>46086</v>
      </c>
      <c r="C359">
        <v>108</v>
      </c>
      <c r="D359" t="s">
        <v>30</v>
      </c>
      <c r="E359" t="s">
        <v>31</v>
      </c>
      <c r="F359">
        <v>202</v>
      </c>
      <c r="G359" t="s">
        <v>19</v>
      </c>
      <c r="H359" s="39" t="s">
        <v>18</v>
      </c>
      <c r="I359">
        <v>4</v>
      </c>
      <c r="J359">
        <v>2576000</v>
      </c>
      <c r="K359">
        <v>2100000</v>
      </c>
      <c r="L359">
        <v>10304000</v>
      </c>
      <c r="M359">
        <v>1904000</v>
      </c>
    </row>
    <row r="360" spans="1:13" x14ac:dyDescent="0.3">
      <c r="A360">
        <v>198</v>
      </c>
      <c r="B360" s="1">
        <v>46087</v>
      </c>
      <c r="C360">
        <v>108</v>
      </c>
      <c r="D360" t="s">
        <v>30</v>
      </c>
      <c r="E360" t="s">
        <v>31</v>
      </c>
      <c r="F360">
        <v>202</v>
      </c>
      <c r="G360" t="s">
        <v>19</v>
      </c>
      <c r="H360" s="39" t="s">
        <v>18</v>
      </c>
      <c r="I360">
        <v>2</v>
      </c>
      <c r="J360">
        <v>2576000</v>
      </c>
      <c r="K360">
        <v>2100000</v>
      </c>
      <c r="L360">
        <v>5152000</v>
      </c>
      <c r="M360">
        <v>952000</v>
      </c>
    </row>
    <row r="361" spans="1:13" x14ac:dyDescent="0.3">
      <c r="A361">
        <v>200</v>
      </c>
      <c r="B361" s="1">
        <v>46088</v>
      </c>
      <c r="C361">
        <v>108</v>
      </c>
      <c r="D361" t="s">
        <v>30</v>
      </c>
      <c r="E361" t="s">
        <v>31</v>
      </c>
      <c r="F361">
        <v>201</v>
      </c>
      <c r="G361" t="s">
        <v>17</v>
      </c>
      <c r="H361" s="39" t="s">
        <v>18</v>
      </c>
      <c r="I361">
        <v>4</v>
      </c>
      <c r="J361">
        <v>7820000</v>
      </c>
      <c r="K361">
        <v>6800000</v>
      </c>
      <c r="L361">
        <v>31280000</v>
      </c>
      <c r="M361">
        <v>4080000</v>
      </c>
    </row>
    <row r="362" spans="1:13" x14ac:dyDescent="0.3">
      <c r="A362">
        <v>212</v>
      </c>
      <c r="B362" s="1">
        <v>46092</v>
      </c>
      <c r="C362">
        <v>108</v>
      </c>
      <c r="D362" t="s">
        <v>30</v>
      </c>
      <c r="E362" t="s">
        <v>31</v>
      </c>
      <c r="F362">
        <v>204</v>
      </c>
      <c r="G362" t="s">
        <v>22</v>
      </c>
      <c r="H362" s="39" t="s">
        <v>21</v>
      </c>
      <c r="I362">
        <v>3</v>
      </c>
      <c r="J362">
        <v>522500</v>
      </c>
      <c r="K362">
        <v>330000</v>
      </c>
      <c r="L362">
        <v>1567500</v>
      </c>
      <c r="M362">
        <v>577500</v>
      </c>
    </row>
    <row r="363" spans="1:13" x14ac:dyDescent="0.3">
      <c r="A363">
        <v>217</v>
      </c>
      <c r="B363" s="1">
        <v>46094</v>
      </c>
      <c r="C363">
        <v>108</v>
      </c>
      <c r="D363" t="s">
        <v>30</v>
      </c>
      <c r="E363" t="s">
        <v>31</v>
      </c>
      <c r="F363">
        <v>201</v>
      </c>
      <c r="G363" t="s">
        <v>17</v>
      </c>
      <c r="H363" s="39" t="s">
        <v>18</v>
      </c>
      <c r="I363">
        <v>1</v>
      </c>
      <c r="J363">
        <v>8245000</v>
      </c>
      <c r="K363">
        <v>6800000</v>
      </c>
      <c r="L363">
        <v>8245000</v>
      </c>
      <c r="M363">
        <v>1445000</v>
      </c>
    </row>
    <row r="364" spans="1:13" x14ac:dyDescent="0.3">
      <c r="A364">
        <v>220</v>
      </c>
      <c r="B364" s="1">
        <v>46095</v>
      </c>
      <c r="C364">
        <v>108</v>
      </c>
      <c r="D364" t="s">
        <v>30</v>
      </c>
      <c r="E364" t="s">
        <v>31</v>
      </c>
      <c r="F364">
        <v>202</v>
      </c>
      <c r="G364" t="s">
        <v>19</v>
      </c>
      <c r="H364" s="39" t="s">
        <v>18</v>
      </c>
      <c r="I364">
        <v>1</v>
      </c>
      <c r="J364">
        <v>2716000</v>
      </c>
      <c r="K364">
        <v>2100000</v>
      </c>
      <c r="L364">
        <v>2716000</v>
      </c>
      <c r="M364">
        <v>616000</v>
      </c>
    </row>
    <row r="365" spans="1:13" x14ac:dyDescent="0.3">
      <c r="A365">
        <v>233</v>
      </c>
      <c r="B365" s="1">
        <v>46100</v>
      </c>
      <c r="C365">
        <v>108</v>
      </c>
      <c r="D365" t="s">
        <v>30</v>
      </c>
      <c r="E365" t="s">
        <v>31</v>
      </c>
      <c r="F365">
        <v>206</v>
      </c>
      <c r="G365" t="s">
        <v>15</v>
      </c>
      <c r="H365" s="39" t="s">
        <v>16</v>
      </c>
      <c r="I365">
        <v>3</v>
      </c>
      <c r="J365">
        <v>3325000</v>
      </c>
      <c r="K365">
        <v>2350000</v>
      </c>
      <c r="L365">
        <v>9975000</v>
      </c>
      <c r="M365">
        <v>2925000</v>
      </c>
    </row>
    <row r="366" spans="1:13" x14ac:dyDescent="0.3">
      <c r="A366">
        <v>252</v>
      </c>
      <c r="B366" s="1">
        <v>46106</v>
      </c>
      <c r="C366">
        <v>108</v>
      </c>
      <c r="D366" t="s">
        <v>30</v>
      </c>
      <c r="E366" t="s">
        <v>31</v>
      </c>
      <c r="F366">
        <v>204</v>
      </c>
      <c r="G366" t="s">
        <v>22</v>
      </c>
      <c r="H366" s="39" t="s">
        <v>21</v>
      </c>
      <c r="I366">
        <v>1</v>
      </c>
      <c r="J366">
        <v>522500</v>
      </c>
      <c r="K366">
        <v>330000</v>
      </c>
      <c r="L366">
        <v>522500</v>
      </c>
      <c r="M366">
        <v>192500</v>
      </c>
    </row>
    <row r="367" spans="1:13" x14ac:dyDescent="0.3">
      <c r="A367">
        <v>264</v>
      </c>
      <c r="B367" s="1">
        <v>46111</v>
      </c>
      <c r="C367">
        <v>108</v>
      </c>
      <c r="D367" t="s">
        <v>30</v>
      </c>
      <c r="E367" t="s">
        <v>31</v>
      </c>
      <c r="F367">
        <v>203</v>
      </c>
      <c r="G367" t="s">
        <v>20</v>
      </c>
      <c r="H367" s="39" t="s">
        <v>21</v>
      </c>
      <c r="I367">
        <v>5</v>
      </c>
      <c r="J367">
        <v>874000</v>
      </c>
      <c r="K367">
        <v>620000</v>
      </c>
      <c r="L367">
        <v>4370000</v>
      </c>
      <c r="M367">
        <v>1270000</v>
      </c>
    </row>
    <row r="368" spans="1:13" x14ac:dyDescent="0.3">
      <c r="A368">
        <v>267</v>
      </c>
      <c r="B368" s="1">
        <v>46112</v>
      </c>
      <c r="C368">
        <v>108</v>
      </c>
      <c r="D368" t="s">
        <v>30</v>
      </c>
      <c r="E368" t="s">
        <v>31</v>
      </c>
      <c r="F368">
        <v>202</v>
      </c>
      <c r="G368" t="s">
        <v>19</v>
      </c>
      <c r="H368" s="39" t="s">
        <v>18</v>
      </c>
      <c r="I368">
        <v>3</v>
      </c>
      <c r="J368">
        <v>2800000</v>
      </c>
      <c r="K368">
        <v>2100000</v>
      </c>
      <c r="L368">
        <v>8400000</v>
      </c>
      <c r="M368">
        <v>2100000</v>
      </c>
    </row>
    <row r="369" spans="1:13" x14ac:dyDescent="0.3">
      <c r="A369">
        <v>277</v>
      </c>
      <c r="B369" s="1">
        <v>46116</v>
      </c>
      <c r="C369">
        <v>108</v>
      </c>
      <c r="D369" t="s">
        <v>30</v>
      </c>
      <c r="E369" t="s">
        <v>31</v>
      </c>
      <c r="F369">
        <v>205</v>
      </c>
      <c r="G369" t="s">
        <v>23</v>
      </c>
      <c r="H369" s="39" t="s">
        <v>16</v>
      </c>
      <c r="I369">
        <v>4</v>
      </c>
      <c r="J369">
        <v>2024000</v>
      </c>
      <c r="K369">
        <v>1450000</v>
      </c>
      <c r="L369">
        <v>8096000</v>
      </c>
      <c r="M369">
        <v>2296000</v>
      </c>
    </row>
    <row r="370" spans="1:13" x14ac:dyDescent="0.3">
      <c r="A370">
        <v>279</v>
      </c>
      <c r="B370" s="1">
        <v>46116</v>
      </c>
      <c r="C370">
        <v>108</v>
      </c>
      <c r="D370" t="s">
        <v>30</v>
      </c>
      <c r="E370" t="s">
        <v>31</v>
      </c>
      <c r="F370">
        <v>204</v>
      </c>
      <c r="G370" t="s">
        <v>22</v>
      </c>
      <c r="H370" s="39" t="s">
        <v>21</v>
      </c>
      <c r="I370">
        <v>4</v>
      </c>
      <c r="J370">
        <v>533500</v>
      </c>
      <c r="K370">
        <v>330000</v>
      </c>
      <c r="L370">
        <v>2134000</v>
      </c>
      <c r="M370">
        <v>814000</v>
      </c>
    </row>
    <row r="371" spans="1:13" x14ac:dyDescent="0.3">
      <c r="A371">
        <v>280</v>
      </c>
      <c r="B371" s="1">
        <v>46116</v>
      </c>
      <c r="C371">
        <v>108</v>
      </c>
      <c r="D371" t="s">
        <v>30</v>
      </c>
      <c r="E371" t="s">
        <v>31</v>
      </c>
      <c r="F371">
        <v>204</v>
      </c>
      <c r="G371" t="s">
        <v>22</v>
      </c>
      <c r="H371" s="39" t="s">
        <v>21</v>
      </c>
      <c r="I371">
        <v>4</v>
      </c>
      <c r="J371">
        <v>533500</v>
      </c>
      <c r="K371">
        <v>330000</v>
      </c>
      <c r="L371">
        <v>2134000</v>
      </c>
      <c r="M371">
        <v>814000</v>
      </c>
    </row>
    <row r="372" spans="1:13" x14ac:dyDescent="0.3">
      <c r="A372">
        <v>283</v>
      </c>
      <c r="B372" s="1">
        <v>46117</v>
      </c>
      <c r="C372">
        <v>108</v>
      </c>
      <c r="D372" t="s">
        <v>30</v>
      </c>
      <c r="E372" t="s">
        <v>31</v>
      </c>
      <c r="F372">
        <v>204</v>
      </c>
      <c r="G372" t="s">
        <v>22</v>
      </c>
      <c r="H372" s="39" t="s">
        <v>21</v>
      </c>
      <c r="I372">
        <v>3</v>
      </c>
      <c r="J372">
        <v>506000</v>
      </c>
      <c r="K372">
        <v>330000</v>
      </c>
      <c r="L372">
        <v>1518000</v>
      </c>
      <c r="M372">
        <v>528000</v>
      </c>
    </row>
    <row r="373" spans="1:13" x14ac:dyDescent="0.3">
      <c r="A373">
        <v>292</v>
      </c>
      <c r="B373" s="1">
        <v>46120</v>
      </c>
      <c r="C373">
        <v>108</v>
      </c>
      <c r="D373" t="s">
        <v>30</v>
      </c>
      <c r="E373" t="s">
        <v>31</v>
      </c>
      <c r="F373">
        <v>203</v>
      </c>
      <c r="G373" t="s">
        <v>20</v>
      </c>
      <c r="H373" s="39" t="s">
        <v>21</v>
      </c>
      <c r="I373">
        <v>5</v>
      </c>
      <c r="J373">
        <v>950000</v>
      </c>
      <c r="K373">
        <v>620000</v>
      </c>
      <c r="L373">
        <v>4750000</v>
      </c>
      <c r="M373">
        <v>1650000</v>
      </c>
    </row>
    <row r="374" spans="1:13" x14ac:dyDescent="0.3">
      <c r="A374">
        <v>304</v>
      </c>
      <c r="B374" s="1">
        <v>46125</v>
      </c>
      <c r="C374">
        <v>108</v>
      </c>
      <c r="D374" t="s">
        <v>30</v>
      </c>
      <c r="E374" t="s">
        <v>31</v>
      </c>
      <c r="F374">
        <v>202</v>
      </c>
      <c r="G374" t="s">
        <v>19</v>
      </c>
      <c r="H374" s="39" t="s">
        <v>18</v>
      </c>
      <c r="I374">
        <v>4</v>
      </c>
      <c r="J374">
        <v>2660000</v>
      </c>
      <c r="K374">
        <v>2100000</v>
      </c>
      <c r="L374">
        <v>10640000</v>
      </c>
      <c r="M374">
        <v>2240000</v>
      </c>
    </row>
    <row r="375" spans="1:13" x14ac:dyDescent="0.3">
      <c r="A375">
        <v>306</v>
      </c>
      <c r="B375" s="1">
        <v>46126</v>
      </c>
      <c r="C375">
        <v>108</v>
      </c>
      <c r="D375" t="s">
        <v>30</v>
      </c>
      <c r="E375" t="s">
        <v>31</v>
      </c>
      <c r="F375">
        <v>206</v>
      </c>
      <c r="G375" t="s">
        <v>15</v>
      </c>
      <c r="H375" s="39" t="s">
        <v>16</v>
      </c>
      <c r="I375">
        <v>1</v>
      </c>
      <c r="J375">
        <v>3325000</v>
      </c>
      <c r="K375">
        <v>2350000</v>
      </c>
      <c r="L375">
        <v>3325000</v>
      </c>
      <c r="M375">
        <v>975000</v>
      </c>
    </row>
    <row r="376" spans="1:13" x14ac:dyDescent="0.3">
      <c r="A376">
        <v>313</v>
      </c>
      <c r="B376" s="1">
        <v>46128</v>
      </c>
      <c r="C376">
        <v>108</v>
      </c>
      <c r="D376" t="s">
        <v>30</v>
      </c>
      <c r="E376" t="s">
        <v>31</v>
      </c>
      <c r="F376">
        <v>202</v>
      </c>
      <c r="G376" t="s">
        <v>19</v>
      </c>
      <c r="H376" s="39" t="s">
        <v>18</v>
      </c>
      <c r="I376">
        <v>3</v>
      </c>
      <c r="J376">
        <v>2716000</v>
      </c>
      <c r="K376">
        <v>2100000</v>
      </c>
      <c r="L376">
        <v>8148000</v>
      </c>
      <c r="M376">
        <v>1848000</v>
      </c>
    </row>
    <row r="377" spans="1:13" x14ac:dyDescent="0.3">
      <c r="A377">
        <v>317</v>
      </c>
      <c r="B377" s="1">
        <v>46129</v>
      </c>
      <c r="C377">
        <v>108</v>
      </c>
      <c r="D377" t="s">
        <v>30</v>
      </c>
      <c r="E377" t="s">
        <v>31</v>
      </c>
      <c r="F377">
        <v>203</v>
      </c>
      <c r="G377" t="s">
        <v>20</v>
      </c>
      <c r="H377" s="39" t="s">
        <v>21</v>
      </c>
      <c r="I377">
        <v>3</v>
      </c>
      <c r="J377">
        <v>921500</v>
      </c>
      <c r="K377">
        <v>620000</v>
      </c>
      <c r="L377">
        <v>2764500</v>
      </c>
      <c r="M377">
        <v>904500</v>
      </c>
    </row>
    <row r="378" spans="1:13" x14ac:dyDescent="0.3">
      <c r="A378">
        <v>318</v>
      </c>
      <c r="B378" s="1">
        <v>46130</v>
      </c>
      <c r="C378">
        <v>108</v>
      </c>
      <c r="D378" t="s">
        <v>30</v>
      </c>
      <c r="E378" t="s">
        <v>31</v>
      </c>
      <c r="F378">
        <v>206</v>
      </c>
      <c r="G378" t="s">
        <v>15</v>
      </c>
      <c r="H378" s="39" t="s">
        <v>16</v>
      </c>
      <c r="I378">
        <v>4</v>
      </c>
      <c r="J378">
        <v>3325000</v>
      </c>
      <c r="K378">
        <v>2350000</v>
      </c>
      <c r="L378">
        <v>13300000</v>
      </c>
      <c r="M378">
        <v>3900000</v>
      </c>
    </row>
    <row r="379" spans="1:13" x14ac:dyDescent="0.3">
      <c r="A379">
        <v>320</v>
      </c>
      <c r="B379" s="1">
        <v>46130</v>
      </c>
      <c r="C379">
        <v>108</v>
      </c>
      <c r="D379" t="s">
        <v>30</v>
      </c>
      <c r="E379" t="s">
        <v>31</v>
      </c>
      <c r="F379">
        <v>203</v>
      </c>
      <c r="G379" t="s">
        <v>20</v>
      </c>
      <c r="H379" s="39" t="s">
        <v>21</v>
      </c>
      <c r="I379">
        <v>2</v>
      </c>
      <c r="J379">
        <v>902500</v>
      </c>
      <c r="K379">
        <v>620000</v>
      </c>
      <c r="L379">
        <v>1805000</v>
      </c>
      <c r="M379">
        <v>565000</v>
      </c>
    </row>
    <row r="380" spans="1:13" x14ac:dyDescent="0.3">
      <c r="A380">
        <v>322</v>
      </c>
      <c r="B380" s="1">
        <v>46131</v>
      </c>
      <c r="C380">
        <v>108</v>
      </c>
      <c r="D380" t="s">
        <v>30</v>
      </c>
      <c r="E380" t="s">
        <v>31</v>
      </c>
      <c r="F380">
        <v>205</v>
      </c>
      <c r="G380" t="s">
        <v>23</v>
      </c>
      <c r="H380" s="39" t="s">
        <v>16</v>
      </c>
      <c r="I380">
        <v>2</v>
      </c>
      <c r="J380">
        <v>2090000</v>
      </c>
      <c r="K380">
        <v>1450000</v>
      </c>
      <c r="L380">
        <v>4180000</v>
      </c>
      <c r="M380">
        <v>1280000</v>
      </c>
    </row>
    <row r="381" spans="1:13" x14ac:dyDescent="0.3">
      <c r="A381">
        <v>333</v>
      </c>
      <c r="B381" s="1">
        <v>46134</v>
      </c>
      <c r="C381">
        <v>108</v>
      </c>
      <c r="D381" t="s">
        <v>30</v>
      </c>
      <c r="E381" t="s">
        <v>31</v>
      </c>
      <c r="F381">
        <v>205</v>
      </c>
      <c r="G381" t="s">
        <v>23</v>
      </c>
      <c r="H381" s="39" t="s">
        <v>16</v>
      </c>
      <c r="I381">
        <v>3</v>
      </c>
      <c r="J381">
        <v>2024000</v>
      </c>
      <c r="K381">
        <v>1450000</v>
      </c>
      <c r="L381">
        <v>6072000</v>
      </c>
      <c r="M381">
        <v>1722000</v>
      </c>
    </row>
    <row r="382" spans="1:13" x14ac:dyDescent="0.3">
      <c r="A382">
        <v>341</v>
      </c>
      <c r="B382" s="1">
        <v>46137</v>
      </c>
      <c r="C382">
        <v>108</v>
      </c>
      <c r="D382" t="s">
        <v>30</v>
      </c>
      <c r="E382" t="s">
        <v>31</v>
      </c>
      <c r="F382">
        <v>202</v>
      </c>
      <c r="G382" t="s">
        <v>19</v>
      </c>
      <c r="H382" s="39" t="s">
        <v>18</v>
      </c>
      <c r="I382">
        <v>3</v>
      </c>
      <c r="J382">
        <v>2716000</v>
      </c>
      <c r="K382">
        <v>2100000</v>
      </c>
      <c r="L382">
        <v>8148000</v>
      </c>
      <c r="M382">
        <v>1848000</v>
      </c>
    </row>
    <row r="383" spans="1:13" x14ac:dyDescent="0.3">
      <c r="A383">
        <v>360</v>
      </c>
      <c r="B383" s="1">
        <v>46145</v>
      </c>
      <c r="C383">
        <v>108</v>
      </c>
      <c r="D383" t="s">
        <v>30</v>
      </c>
      <c r="E383" t="s">
        <v>31</v>
      </c>
      <c r="F383">
        <v>206</v>
      </c>
      <c r="G383" t="s">
        <v>15</v>
      </c>
      <c r="H383" s="39" t="s">
        <v>16</v>
      </c>
      <c r="I383">
        <v>2</v>
      </c>
      <c r="J383">
        <v>3395000</v>
      </c>
      <c r="K383">
        <v>2350000</v>
      </c>
      <c r="L383">
        <v>6790000</v>
      </c>
      <c r="M383">
        <v>2090000</v>
      </c>
    </row>
    <row r="384" spans="1:13" x14ac:dyDescent="0.3">
      <c r="A384">
        <v>371</v>
      </c>
      <c r="B384" s="1">
        <v>46148</v>
      </c>
      <c r="C384">
        <v>108</v>
      </c>
      <c r="D384" t="s">
        <v>30</v>
      </c>
      <c r="E384" t="s">
        <v>31</v>
      </c>
      <c r="F384">
        <v>201</v>
      </c>
      <c r="G384" t="s">
        <v>17</v>
      </c>
      <c r="H384" s="39" t="s">
        <v>18</v>
      </c>
      <c r="I384">
        <v>3</v>
      </c>
      <c r="J384">
        <v>8500000</v>
      </c>
      <c r="K384">
        <v>6800000</v>
      </c>
      <c r="L384">
        <v>25500000</v>
      </c>
      <c r="M384">
        <v>5100000</v>
      </c>
    </row>
    <row r="385" spans="1:13" x14ac:dyDescent="0.3">
      <c r="A385">
        <v>374</v>
      </c>
      <c r="B385" s="1">
        <v>46150</v>
      </c>
      <c r="C385">
        <v>108</v>
      </c>
      <c r="D385" t="s">
        <v>30</v>
      </c>
      <c r="E385" t="s">
        <v>31</v>
      </c>
      <c r="F385">
        <v>202</v>
      </c>
      <c r="G385" t="s">
        <v>19</v>
      </c>
      <c r="H385" s="39" t="s">
        <v>18</v>
      </c>
      <c r="I385">
        <v>1</v>
      </c>
      <c r="J385">
        <v>2576000</v>
      </c>
      <c r="K385">
        <v>2100000</v>
      </c>
      <c r="L385">
        <v>2576000</v>
      </c>
      <c r="M385">
        <v>476000</v>
      </c>
    </row>
    <row r="386" spans="1:13" x14ac:dyDescent="0.3">
      <c r="A386">
        <v>387</v>
      </c>
      <c r="B386" s="1">
        <v>46154</v>
      </c>
      <c r="C386">
        <v>108</v>
      </c>
      <c r="D386" t="s">
        <v>30</v>
      </c>
      <c r="E386" t="s">
        <v>31</v>
      </c>
      <c r="F386">
        <v>201</v>
      </c>
      <c r="G386" t="s">
        <v>17</v>
      </c>
      <c r="H386" s="39" t="s">
        <v>18</v>
      </c>
      <c r="I386">
        <v>3</v>
      </c>
      <c r="J386">
        <v>7820000</v>
      </c>
      <c r="K386">
        <v>6800000</v>
      </c>
      <c r="L386">
        <v>23460000</v>
      </c>
      <c r="M386">
        <v>3060000</v>
      </c>
    </row>
    <row r="387" spans="1:13" x14ac:dyDescent="0.3">
      <c r="A387">
        <v>394</v>
      </c>
      <c r="B387" s="1">
        <v>46155</v>
      </c>
      <c r="C387">
        <v>108</v>
      </c>
      <c r="D387" t="s">
        <v>30</v>
      </c>
      <c r="E387" t="s">
        <v>31</v>
      </c>
      <c r="F387">
        <v>206</v>
      </c>
      <c r="G387" t="s">
        <v>15</v>
      </c>
      <c r="H387" s="39" t="s">
        <v>16</v>
      </c>
      <c r="I387">
        <v>5</v>
      </c>
      <c r="J387">
        <v>3220000</v>
      </c>
      <c r="K387">
        <v>2350000</v>
      </c>
      <c r="L387">
        <v>16100000</v>
      </c>
      <c r="M387">
        <v>4350000</v>
      </c>
    </row>
    <row r="388" spans="1:13" x14ac:dyDescent="0.3">
      <c r="A388">
        <v>399</v>
      </c>
      <c r="B388" s="1">
        <v>46157</v>
      </c>
      <c r="C388">
        <v>108</v>
      </c>
      <c r="D388" t="s">
        <v>30</v>
      </c>
      <c r="E388" t="s">
        <v>31</v>
      </c>
      <c r="F388">
        <v>204</v>
      </c>
      <c r="G388" t="s">
        <v>22</v>
      </c>
      <c r="H388" s="39" t="s">
        <v>21</v>
      </c>
      <c r="I388">
        <v>3</v>
      </c>
      <c r="J388">
        <v>550000</v>
      </c>
      <c r="K388">
        <v>330000</v>
      </c>
      <c r="L388">
        <v>1650000</v>
      </c>
      <c r="M388">
        <v>660000</v>
      </c>
    </row>
    <row r="389" spans="1:13" x14ac:dyDescent="0.3">
      <c r="A389">
        <v>400</v>
      </c>
      <c r="B389" s="1">
        <v>46158</v>
      </c>
      <c r="C389">
        <v>108</v>
      </c>
      <c r="D389" t="s">
        <v>30</v>
      </c>
      <c r="E389" t="s">
        <v>31</v>
      </c>
      <c r="F389">
        <v>205</v>
      </c>
      <c r="G389" t="s">
        <v>23</v>
      </c>
      <c r="H389" s="39" t="s">
        <v>16</v>
      </c>
      <c r="I389">
        <v>5</v>
      </c>
      <c r="J389">
        <v>2024000</v>
      </c>
      <c r="K389">
        <v>1450000</v>
      </c>
      <c r="L389">
        <v>10120000</v>
      </c>
      <c r="M389">
        <v>2870000</v>
      </c>
    </row>
    <row r="390" spans="1:13" x14ac:dyDescent="0.3">
      <c r="A390">
        <v>408</v>
      </c>
      <c r="B390" s="1">
        <v>46160</v>
      </c>
      <c r="C390">
        <v>108</v>
      </c>
      <c r="D390" t="s">
        <v>30</v>
      </c>
      <c r="E390" t="s">
        <v>31</v>
      </c>
      <c r="F390">
        <v>204</v>
      </c>
      <c r="G390" t="s">
        <v>22</v>
      </c>
      <c r="H390" s="39" t="s">
        <v>21</v>
      </c>
      <c r="I390">
        <v>3</v>
      </c>
      <c r="J390">
        <v>550000</v>
      </c>
      <c r="K390">
        <v>330000</v>
      </c>
      <c r="L390">
        <v>1650000</v>
      </c>
      <c r="M390">
        <v>660000</v>
      </c>
    </row>
    <row r="391" spans="1:13" x14ac:dyDescent="0.3">
      <c r="A391">
        <v>414</v>
      </c>
      <c r="B391" s="1">
        <v>46162</v>
      </c>
      <c r="C391">
        <v>108</v>
      </c>
      <c r="D391" t="s">
        <v>30</v>
      </c>
      <c r="E391" t="s">
        <v>31</v>
      </c>
      <c r="F391">
        <v>203</v>
      </c>
      <c r="G391" t="s">
        <v>20</v>
      </c>
      <c r="H391" s="39" t="s">
        <v>21</v>
      </c>
      <c r="I391">
        <v>2</v>
      </c>
      <c r="J391">
        <v>921500</v>
      </c>
      <c r="K391">
        <v>620000</v>
      </c>
      <c r="L391">
        <v>1843000</v>
      </c>
      <c r="M391">
        <v>603000</v>
      </c>
    </row>
    <row r="392" spans="1:13" x14ac:dyDescent="0.3">
      <c r="A392">
        <v>415</v>
      </c>
      <c r="B392" s="1">
        <v>46163</v>
      </c>
      <c r="C392">
        <v>108</v>
      </c>
      <c r="D392" t="s">
        <v>30</v>
      </c>
      <c r="E392" t="s">
        <v>31</v>
      </c>
      <c r="F392">
        <v>202</v>
      </c>
      <c r="G392" t="s">
        <v>19</v>
      </c>
      <c r="H392" s="39" t="s">
        <v>18</v>
      </c>
      <c r="I392">
        <v>3</v>
      </c>
      <c r="J392">
        <v>2660000</v>
      </c>
      <c r="K392">
        <v>2100000</v>
      </c>
      <c r="L392">
        <v>7980000</v>
      </c>
      <c r="M392">
        <v>1680000</v>
      </c>
    </row>
    <row r="393" spans="1:13" x14ac:dyDescent="0.3">
      <c r="A393">
        <v>418</v>
      </c>
      <c r="B393" s="1">
        <v>46164</v>
      </c>
      <c r="C393">
        <v>108</v>
      </c>
      <c r="D393" t="s">
        <v>30</v>
      </c>
      <c r="E393" t="s">
        <v>31</v>
      </c>
      <c r="F393">
        <v>202</v>
      </c>
      <c r="G393" t="s">
        <v>19</v>
      </c>
      <c r="H393" s="39" t="s">
        <v>18</v>
      </c>
      <c r="I393">
        <v>4</v>
      </c>
      <c r="J393">
        <v>2660000</v>
      </c>
      <c r="K393">
        <v>2100000</v>
      </c>
      <c r="L393">
        <v>10640000</v>
      </c>
      <c r="M393">
        <v>2240000</v>
      </c>
    </row>
    <row r="394" spans="1:13" x14ac:dyDescent="0.3">
      <c r="A394">
        <v>419</v>
      </c>
      <c r="B394" s="1">
        <v>46165</v>
      </c>
      <c r="C394">
        <v>108</v>
      </c>
      <c r="D394" t="s">
        <v>30</v>
      </c>
      <c r="E394" t="s">
        <v>31</v>
      </c>
      <c r="F394">
        <v>201</v>
      </c>
      <c r="G394" t="s">
        <v>17</v>
      </c>
      <c r="H394" s="39" t="s">
        <v>18</v>
      </c>
      <c r="I394">
        <v>2</v>
      </c>
      <c r="J394">
        <v>8245000</v>
      </c>
      <c r="K394">
        <v>6800000</v>
      </c>
      <c r="L394">
        <v>16490000</v>
      </c>
      <c r="M394">
        <v>2890000</v>
      </c>
    </row>
    <row r="395" spans="1:13" x14ac:dyDescent="0.3">
      <c r="A395">
        <v>422</v>
      </c>
      <c r="B395" s="1">
        <v>46166</v>
      </c>
      <c r="C395">
        <v>108</v>
      </c>
      <c r="D395" t="s">
        <v>30</v>
      </c>
      <c r="E395" t="s">
        <v>31</v>
      </c>
      <c r="F395">
        <v>204</v>
      </c>
      <c r="G395" t="s">
        <v>22</v>
      </c>
      <c r="H395" s="39" t="s">
        <v>21</v>
      </c>
      <c r="I395">
        <v>5</v>
      </c>
      <c r="J395">
        <v>533500</v>
      </c>
      <c r="K395">
        <v>330000</v>
      </c>
      <c r="L395">
        <v>2667500</v>
      </c>
      <c r="M395">
        <v>1017500</v>
      </c>
    </row>
    <row r="396" spans="1:13" x14ac:dyDescent="0.3">
      <c r="A396">
        <v>423</v>
      </c>
      <c r="B396" s="1">
        <v>46166</v>
      </c>
      <c r="C396">
        <v>108</v>
      </c>
      <c r="D396" t="s">
        <v>30</v>
      </c>
      <c r="E396" t="s">
        <v>31</v>
      </c>
      <c r="F396">
        <v>204</v>
      </c>
      <c r="G396" t="s">
        <v>22</v>
      </c>
      <c r="H396" s="39" t="s">
        <v>21</v>
      </c>
      <c r="I396">
        <v>1</v>
      </c>
      <c r="J396">
        <v>533500</v>
      </c>
      <c r="K396">
        <v>330000</v>
      </c>
      <c r="L396">
        <v>533500</v>
      </c>
      <c r="M396">
        <v>203500</v>
      </c>
    </row>
    <row r="397" spans="1:13" x14ac:dyDescent="0.3">
      <c r="A397">
        <v>424</v>
      </c>
      <c r="B397" s="1">
        <v>46167</v>
      </c>
      <c r="C397">
        <v>108</v>
      </c>
      <c r="D397" t="s">
        <v>30</v>
      </c>
      <c r="E397" t="s">
        <v>31</v>
      </c>
      <c r="F397">
        <v>202</v>
      </c>
      <c r="G397" t="s">
        <v>19</v>
      </c>
      <c r="H397" s="39" t="s">
        <v>18</v>
      </c>
      <c r="I397">
        <v>2</v>
      </c>
      <c r="J397">
        <v>2660000</v>
      </c>
      <c r="K397">
        <v>2100000</v>
      </c>
      <c r="L397">
        <v>5320000</v>
      </c>
      <c r="M397">
        <v>1120000</v>
      </c>
    </row>
    <row r="398" spans="1:13" x14ac:dyDescent="0.3">
      <c r="A398">
        <v>450</v>
      </c>
      <c r="B398" s="1">
        <v>46177</v>
      </c>
      <c r="C398">
        <v>108</v>
      </c>
      <c r="D398" t="s">
        <v>30</v>
      </c>
      <c r="E398" t="s">
        <v>31</v>
      </c>
      <c r="F398">
        <v>204</v>
      </c>
      <c r="G398" t="s">
        <v>22</v>
      </c>
      <c r="H398" s="39" t="s">
        <v>21</v>
      </c>
      <c r="I398">
        <v>1</v>
      </c>
      <c r="J398">
        <v>533500</v>
      </c>
      <c r="K398">
        <v>330000</v>
      </c>
      <c r="L398">
        <v>533500</v>
      </c>
      <c r="M398">
        <v>203500</v>
      </c>
    </row>
    <row r="399" spans="1:13" x14ac:dyDescent="0.3">
      <c r="A399">
        <v>451</v>
      </c>
      <c r="B399" s="1">
        <v>46177</v>
      </c>
      <c r="C399">
        <v>108</v>
      </c>
      <c r="D399" t="s">
        <v>30</v>
      </c>
      <c r="E399" t="s">
        <v>31</v>
      </c>
      <c r="F399">
        <v>203</v>
      </c>
      <c r="G399" t="s">
        <v>20</v>
      </c>
      <c r="H399" s="39" t="s">
        <v>21</v>
      </c>
      <c r="I399">
        <v>3</v>
      </c>
      <c r="J399">
        <v>902500</v>
      </c>
      <c r="K399">
        <v>620000</v>
      </c>
      <c r="L399">
        <v>2707500</v>
      </c>
      <c r="M399">
        <v>847500</v>
      </c>
    </row>
    <row r="400" spans="1:13" x14ac:dyDescent="0.3">
      <c r="A400">
        <v>456</v>
      </c>
      <c r="B400" s="1">
        <v>46179</v>
      </c>
      <c r="C400">
        <v>108</v>
      </c>
      <c r="D400" t="s">
        <v>30</v>
      </c>
      <c r="E400" t="s">
        <v>31</v>
      </c>
      <c r="F400">
        <v>203</v>
      </c>
      <c r="G400" t="s">
        <v>20</v>
      </c>
      <c r="H400" s="39" t="s">
        <v>21</v>
      </c>
      <c r="I400">
        <v>1</v>
      </c>
      <c r="J400">
        <v>874000</v>
      </c>
      <c r="K400">
        <v>620000</v>
      </c>
      <c r="L400">
        <v>874000</v>
      </c>
      <c r="M400">
        <v>254000</v>
      </c>
    </row>
    <row r="401" spans="1:13" x14ac:dyDescent="0.3">
      <c r="A401">
        <v>459</v>
      </c>
      <c r="B401" s="1">
        <v>46180</v>
      </c>
      <c r="C401">
        <v>108</v>
      </c>
      <c r="D401" t="s">
        <v>30</v>
      </c>
      <c r="E401" t="s">
        <v>31</v>
      </c>
      <c r="F401">
        <v>204</v>
      </c>
      <c r="G401" t="s">
        <v>22</v>
      </c>
      <c r="H401" s="39" t="s">
        <v>21</v>
      </c>
      <c r="I401">
        <v>3</v>
      </c>
      <c r="J401">
        <v>533500</v>
      </c>
      <c r="K401">
        <v>330000</v>
      </c>
      <c r="L401">
        <v>1600500</v>
      </c>
      <c r="M401">
        <v>610500</v>
      </c>
    </row>
    <row r="402" spans="1:13" x14ac:dyDescent="0.3">
      <c r="A402">
        <v>472</v>
      </c>
      <c r="B402" s="1">
        <v>46184</v>
      </c>
      <c r="C402">
        <v>108</v>
      </c>
      <c r="D402" t="s">
        <v>30</v>
      </c>
      <c r="E402" t="s">
        <v>31</v>
      </c>
      <c r="F402">
        <v>203</v>
      </c>
      <c r="G402" t="s">
        <v>20</v>
      </c>
      <c r="H402" s="39" t="s">
        <v>21</v>
      </c>
      <c r="I402">
        <v>3</v>
      </c>
      <c r="J402">
        <v>874000</v>
      </c>
      <c r="K402">
        <v>620000</v>
      </c>
      <c r="L402">
        <v>2622000</v>
      </c>
      <c r="M402">
        <v>762000</v>
      </c>
    </row>
    <row r="403" spans="1:13" x14ac:dyDescent="0.3">
      <c r="A403">
        <v>512</v>
      </c>
      <c r="B403" s="1">
        <v>46196</v>
      </c>
      <c r="C403">
        <v>108</v>
      </c>
      <c r="D403" t="s">
        <v>30</v>
      </c>
      <c r="E403" t="s">
        <v>31</v>
      </c>
      <c r="F403">
        <v>202</v>
      </c>
      <c r="G403" t="s">
        <v>19</v>
      </c>
      <c r="H403" s="39" t="s">
        <v>18</v>
      </c>
      <c r="I403">
        <v>1</v>
      </c>
      <c r="J403">
        <v>2576000</v>
      </c>
      <c r="K403">
        <v>2100000</v>
      </c>
      <c r="L403">
        <v>2576000</v>
      </c>
      <c r="M403">
        <v>476000</v>
      </c>
    </row>
    <row r="404" spans="1:13" x14ac:dyDescent="0.3">
      <c r="A404">
        <v>514</v>
      </c>
      <c r="B404" s="1">
        <v>46197</v>
      </c>
      <c r="C404">
        <v>108</v>
      </c>
      <c r="D404" t="s">
        <v>30</v>
      </c>
      <c r="E404" t="s">
        <v>31</v>
      </c>
      <c r="F404">
        <v>206</v>
      </c>
      <c r="G404" t="s">
        <v>15</v>
      </c>
      <c r="H404" s="39" t="s">
        <v>16</v>
      </c>
      <c r="I404">
        <v>2</v>
      </c>
      <c r="J404">
        <v>3220000</v>
      </c>
      <c r="K404">
        <v>2350000</v>
      </c>
      <c r="L404">
        <v>6440000</v>
      </c>
      <c r="M404">
        <v>1740000</v>
      </c>
    </row>
    <row r="405" spans="1:13" x14ac:dyDescent="0.3">
      <c r="A405">
        <v>517</v>
      </c>
      <c r="B405" s="1">
        <v>46198</v>
      </c>
      <c r="C405">
        <v>108</v>
      </c>
      <c r="D405" t="s">
        <v>30</v>
      </c>
      <c r="E405" t="s">
        <v>31</v>
      </c>
      <c r="F405">
        <v>202</v>
      </c>
      <c r="G405" t="s">
        <v>19</v>
      </c>
      <c r="H405" s="39" t="s">
        <v>18</v>
      </c>
      <c r="I405">
        <v>4</v>
      </c>
      <c r="J405">
        <v>2716000</v>
      </c>
      <c r="K405">
        <v>2100000</v>
      </c>
      <c r="L405">
        <v>10864000</v>
      </c>
      <c r="M405">
        <v>2464000</v>
      </c>
    </row>
    <row r="406" spans="1:13" x14ac:dyDescent="0.3">
      <c r="A406">
        <v>524</v>
      </c>
      <c r="B406" s="1">
        <v>46200</v>
      </c>
      <c r="C406">
        <v>108</v>
      </c>
      <c r="D406" t="s">
        <v>30</v>
      </c>
      <c r="E406" t="s">
        <v>31</v>
      </c>
      <c r="F406">
        <v>202</v>
      </c>
      <c r="G406" t="s">
        <v>19</v>
      </c>
      <c r="H406" s="39" t="s">
        <v>18</v>
      </c>
      <c r="I406">
        <v>2</v>
      </c>
      <c r="J406">
        <v>2716000</v>
      </c>
      <c r="K406">
        <v>2100000</v>
      </c>
      <c r="L406">
        <v>5432000</v>
      </c>
      <c r="M406">
        <v>1232000</v>
      </c>
    </row>
    <row r="407" spans="1:13" x14ac:dyDescent="0.3">
      <c r="A407">
        <v>531</v>
      </c>
      <c r="B407" s="1">
        <v>46202</v>
      </c>
      <c r="C407">
        <v>108</v>
      </c>
      <c r="D407" t="s">
        <v>30</v>
      </c>
      <c r="E407" t="s">
        <v>31</v>
      </c>
      <c r="F407">
        <v>202</v>
      </c>
      <c r="G407" t="s">
        <v>19</v>
      </c>
      <c r="H407" s="39" t="s">
        <v>18</v>
      </c>
      <c r="I407">
        <v>1</v>
      </c>
      <c r="J407">
        <v>2660000</v>
      </c>
      <c r="K407">
        <v>2100000</v>
      </c>
      <c r="L407">
        <v>2660000</v>
      </c>
      <c r="M407">
        <v>560000</v>
      </c>
    </row>
    <row r="408" spans="1:13" x14ac:dyDescent="0.3">
      <c r="A408">
        <v>532</v>
      </c>
      <c r="B408" s="1">
        <v>46203</v>
      </c>
      <c r="C408">
        <v>108</v>
      </c>
      <c r="D408" t="s">
        <v>30</v>
      </c>
      <c r="E408" t="s">
        <v>31</v>
      </c>
      <c r="F408">
        <v>201</v>
      </c>
      <c r="G408" t="s">
        <v>17</v>
      </c>
      <c r="H408" s="39" t="s">
        <v>18</v>
      </c>
      <c r="I408">
        <v>2</v>
      </c>
      <c r="J408">
        <v>8500000</v>
      </c>
      <c r="K408">
        <v>6800000</v>
      </c>
      <c r="L408">
        <v>17000000</v>
      </c>
      <c r="M408">
        <v>3400000</v>
      </c>
    </row>
    <row r="409" spans="1:13" x14ac:dyDescent="0.3">
      <c r="A409">
        <v>15</v>
      </c>
      <c r="B409" s="1">
        <v>46029</v>
      </c>
      <c r="C409">
        <v>103</v>
      </c>
      <c r="D409" t="s">
        <v>32</v>
      </c>
      <c r="E409" t="s">
        <v>31</v>
      </c>
      <c r="F409">
        <v>206</v>
      </c>
      <c r="G409" t="s">
        <v>15</v>
      </c>
      <c r="H409" s="39" t="s">
        <v>16</v>
      </c>
      <c r="I409">
        <v>3</v>
      </c>
      <c r="J409">
        <v>3395000</v>
      </c>
      <c r="K409">
        <v>2350000</v>
      </c>
      <c r="L409">
        <v>10185000</v>
      </c>
      <c r="M409">
        <v>3135000</v>
      </c>
    </row>
    <row r="410" spans="1:13" x14ac:dyDescent="0.3">
      <c r="A410">
        <v>16</v>
      </c>
      <c r="B410" s="1">
        <v>46030</v>
      </c>
      <c r="C410">
        <v>103</v>
      </c>
      <c r="D410" t="s">
        <v>32</v>
      </c>
      <c r="E410" t="s">
        <v>31</v>
      </c>
      <c r="F410">
        <v>201</v>
      </c>
      <c r="G410" t="s">
        <v>17</v>
      </c>
      <c r="H410" s="39" t="s">
        <v>18</v>
      </c>
      <c r="I410">
        <v>3</v>
      </c>
      <c r="J410">
        <v>7820000</v>
      </c>
      <c r="K410">
        <v>6800000</v>
      </c>
      <c r="L410">
        <v>23460000</v>
      </c>
      <c r="M410">
        <v>3060000</v>
      </c>
    </row>
    <row r="411" spans="1:13" x14ac:dyDescent="0.3">
      <c r="A411">
        <v>36</v>
      </c>
      <c r="B411" s="1">
        <v>46036</v>
      </c>
      <c r="C411">
        <v>103</v>
      </c>
      <c r="D411" t="s">
        <v>32</v>
      </c>
      <c r="E411" t="s">
        <v>31</v>
      </c>
      <c r="F411">
        <v>203</v>
      </c>
      <c r="G411" t="s">
        <v>20</v>
      </c>
      <c r="H411" s="39" t="s">
        <v>21</v>
      </c>
      <c r="I411">
        <v>4</v>
      </c>
      <c r="J411">
        <v>950000</v>
      </c>
      <c r="K411">
        <v>620000</v>
      </c>
      <c r="L411">
        <v>3800000</v>
      </c>
      <c r="M411">
        <v>1320000</v>
      </c>
    </row>
    <row r="412" spans="1:13" x14ac:dyDescent="0.3">
      <c r="A412">
        <v>39</v>
      </c>
      <c r="B412" s="1">
        <v>46037</v>
      </c>
      <c r="C412">
        <v>103</v>
      </c>
      <c r="D412" t="s">
        <v>32</v>
      </c>
      <c r="E412" t="s">
        <v>31</v>
      </c>
      <c r="F412">
        <v>202</v>
      </c>
      <c r="G412" t="s">
        <v>19</v>
      </c>
      <c r="H412" s="39" t="s">
        <v>18</v>
      </c>
      <c r="I412">
        <v>2</v>
      </c>
      <c r="J412">
        <v>2800000</v>
      </c>
      <c r="K412">
        <v>2100000</v>
      </c>
      <c r="L412">
        <v>5600000</v>
      </c>
      <c r="M412">
        <v>1400000</v>
      </c>
    </row>
    <row r="413" spans="1:13" x14ac:dyDescent="0.3">
      <c r="A413">
        <v>46</v>
      </c>
      <c r="B413" s="1">
        <v>46039</v>
      </c>
      <c r="C413">
        <v>103</v>
      </c>
      <c r="D413" t="s">
        <v>32</v>
      </c>
      <c r="E413" t="s">
        <v>31</v>
      </c>
      <c r="F413">
        <v>201</v>
      </c>
      <c r="G413" t="s">
        <v>17</v>
      </c>
      <c r="H413" s="39" t="s">
        <v>18</v>
      </c>
      <c r="I413">
        <v>2</v>
      </c>
      <c r="J413">
        <v>7820000</v>
      </c>
      <c r="K413">
        <v>6800000</v>
      </c>
      <c r="L413">
        <v>15640000</v>
      </c>
      <c r="M413">
        <v>2040000</v>
      </c>
    </row>
    <row r="414" spans="1:13" x14ac:dyDescent="0.3">
      <c r="A414">
        <v>47</v>
      </c>
      <c r="B414" s="1">
        <v>46039</v>
      </c>
      <c r="C414">
        <v>103</v>
      </c>
      <c r="D414" t="s">
        <v>32</v>
      </c>
      <c r="E414" t="s">
        <v>31</v>
      </c>
      <c r="F414">
        <v>206</v>
      </c>
      <c r="G414" t="s">
        <v>15</v>
      </c>
      <c r="H414" s="39" t="s">
        <v>16</v>
      </c>
      <c r="I414">
        <v>3</v>
      </c>
      <c r="J414">
        <v>3325000</v>
      </c>
      <c r="K414">
        <v>2350000</v>
      </c>
      <c r="L414">
        <v>9975000</v>
      </c>
      <c r="M414">
        <v>2925000</v>
      </c>
    </row>
    <row r="415" spans="1:13" x14ac:dyDescent="0.3">
      <c r="A415">
        <v>48</v>
      </c>
      <c r="B415" s="1">
        <v>46040</v>
      </c>
      <c r="C415">
        <v>103</v>
      </c>
      <c r="D415" t="s">
        <v>32</v>
      </c>
      <c r="E415" t="s">
        <v>31</v>
      </c>
      <c r="F415">
        <v>205</v>
      </c>
      <c r="G415" t="s">
        <v>23</v>
      </c>
      <c r="H415" s="39" t="s">
        <v>16</v>
      </c>
      <c r="I415">
        <v>5</v>
      </c>
      <c r="J415">
        <v>2134000</v>
      </c>
      <c r="K415">
        <v>1450000</v>
      </c>
      <c r="L415">
        <v>10670000</v>
      </c>
      <c r="M415">
        <v>3420000</v>
      </c>
    </row>
    <row r="416" spans="1:13" x14ac:dyDescent="0.3">
      <c r="A416">
        <v>68</v>
      </c>
      <c r="B416" s="1">
        <v>46046</v>
      </c>
      <c r="C416">
        <v>103</v>
      </c>
      <c r="D416" t="s">
        <v>32</v>
      </c>
      <c r="E416" t="s">
        <v>31</v>
      </c>
      <c r="F416">
        <v>206</v>
      </c>
      <c r="G416" t="s">
        <v>15</v>
      </c>
      <c r="H416" s="39" t="s">
        <v>16</v>
      </c>
      <c r="I416">
        <v>2</v>
      </c>
      <c r="J416">
        <v>3325000</v>
      </c>
      <c r="K416">
        <v>2350000</v>
      </c>
      <c r="L416">
        <v>6650000</v>
      </c>
      <c r="M416">
        <v>1950000</v>
      </c>
    </row>
    <row r="417" spans="1:13" x14ac:dyDescent="0.3">
      <c r="A417">
        <v>72</v>
      </c>
      <c r="B417" s="1">
        <v>46047</v>
      </c>
      <c r="C417">
        <v>103</v>
      </c>
      <c r="D417" t="s">
        <v>32</v>
      </c>
      <c r="E417" t="s">
        <v>31</v>
      </c>
      <c r="F417">
        <v>201</v>
      </c>
      <c r="G417" t="s">
        <v>17</v>
      </c>
      <c r="H417" s="39" t="s">
        <v>18</v>
      </c>
      <c r="I417">
        <v>4</v>
      </c>
      <c r="J417">
        <v>8075000</v>
      </c>
      <c r="K417">
        <v>6800000</v>
      </c>
      <c r="L417">
        <v>32300000</v>
      </c>
      <c r="M417">
        <v>5100000</v>
      </c>
    </row>
    <row r="418" spans="1:13" x14ac:dyDescent="0.3">
      <c r="A418">
        <v>87</v>
      </c>
      <c r="B418" s="1">
        <v>46052</v>
      </c>
      <c r="C418">
        <v>103</v>
      </c>
      <c r="D418" t="s">
        <v>32</v>
      </c>
      <c r="E418" t="s">
        <v>31</v>
      </c>
      <c r="F418">
        <v>206</v>
      </c>
      <c r="G418" t="s">
        <v>15</v>
      </c>
      <c r="H418" s="39" t="s">
        <v>16</v>
      </c>
      <c r="I418">
        <v>1</v>
      </c>
      <c r="J418">
        <v>3325000</v>
      </c>
      <c r="K418">
        <v>2350000</v>
      </c>
      <c r="L418">
        <v>3325000</v>
      </c>
      <c r="M418">
        <v>975000</v>
      </c>
    </row>
    <row r="419" spans="1:13" x14ac:dyDescent="0.3">
      <c r="A419">
        <v>93</v>
      </c>
      <c r="B419" s="1">
        <v>46054</v>
      </c>
      <c r="C419">
        <v>103</v>
      </c>
      <c r="D419" t="s">
        <v>32</v>
      </c>
      <c r="E419" t="s">
        <v>31</v>
      </c>
      <c r="F419">
        <v>206</v>
      </c>
      <c r="G419" t="s">
        <v>15</v>
      </c>
      <c r="H419" s="39" t="s">
        <v>16</v>
      </c>
      <c r="I419">
        <v>4</v>
      </c>
      <c r="J419">
        <v>3395000</v>
      </c>
      <c r="K419">
        <v>2350000</v>
      </c>
      <c r="L419">
        <v>13580000</v>
      </c>
      <c r="M419">
        <v>4180000</v>
      </c>
    </row>
    <row r="420" spans="1:13" x14ac:dyDescent="0.3">
      <c r="A420">
        <v>96</v>
      </c>
      <c r="B420" s="1">
        <v>46055</v>
      </c>
      <c r="C420">
        <v>103</v>
      </c>
      <c r="D420" t="s">
        <v>32</v>
      </c>
      <c r="E420" t="s">
        <v>31</v>
      </c>
      <c r="F420">
        <v>201</v>
      </c>
      <c r="G420" t="s">
        <v>17</v>
      </c>
      <c r="H420" s="39" t="s">
        <v>18</v>
      </c>
      <c r="I420">
        <v>1</v>
      </c>
      <c r="J420">
        <v>8075000</v>
      </c>
      <c r="K420">
        <v>6800000</v>
      </c>
      <c r="L420">
        <v>8075000</v>
      </c>
      <c r="M420">
        <v>1275000</v>
      </c>
    </row>
    <row r="421" spans="1:13" x14ac:dyDescent="0.3">
      <c r="A421">
        <v>104</v>
      </c>
      <c r="B421" s="1">
        <v>46057</v>
      </c>
      <c r="C421">
        <v>103</v>
      </c>
      <c r="D421" t="s">
        <v>32</v>
      </c>
      <c r="E421" t="s">
        <v>31</v>
      </c>
      <c r="F421">
        <v>206</v>
      </c>
      <c r="G421" t="s">
        <v>15</v>
      </c>
      <c r="H421" s="39" t="s">
        <v>16</v>
      </c>
      <c r="I421">
        <v>3</v>
      </c>
      <c r="J421">
        <v>3395000</v>
      </c>
      <c r="K421">
        <v>2350000</v>
      </c>
      <c r="L421">
        <v>10185000</v>
      </c>
      <c r="M421">
        <v>3135000</v>
      </c>
    </row>
    <row r="422" spans="1:13" x14ac:dyDescent="0.3">
      <c r="A422">
        <v>115</v>
      </c>
      <c r="B422" s="1">
        <v>46061</v>
      </c>
      <c r="C422">
        <v>103</v>
      </c>
      <c r="D422" t="s">
        <v>32</v>
      </c>
      <c r="E422" t="s">
        <v>31</v>
      </c>
      <c r="F422">
        <v>203</v>
      </c>
      <c r="G422" t="s">
        <v>20</v>
      </c>
      <c r="H422" s="39" t="s">
        <v>21</v>
      </c>
      <c r="I422">
        <v>1</v>
      </c>
      <c r="J422">
        <v>921500</v>
      </c>
      <c r="K422">
        <v>620000</v>
      </c>
      <c r="L422">
        <v>921500</v>
      </c>
      <c r="M422">
        <v>301500</v>
      </c>
    </row>
    <row r="423" spans="1:13" x14ac:dyDescent="0.3">
      <c r="A423">
        <v>121</v>
      </c>
      <c r="B423" s="1">
        <v>46063</v>
      </c>
      <c r="C423">
        <v>103</v>
      </c>
      <c r="D423" t="s">
        <v>32</v>
      </c>
      <c r="E423" t="s">
        <v>31</v>
      </c>
      <c r="F423">
        <v>201</v>
      </c>
      <c r="G423" t="s">
        <v>17</v>
      </c>
      <c r="H423" s="39" t="s">
        <v>18</v>
      </c>
      <c r="I423">
        <v>1</v>
      </c>
      <c r="J423">
        <v>7820000</v>
      </c>
      <c r="K423">
        <v>6800000</v>
      </c>
      <c r="L423">
        <v>7820000</v>
      </c>
      <c r="M423">
        <v>1020000</v>
      </c>
    </row>
    <row r="424" spans="1:13" x14ac:dyDescent="0.3">
      <c r="A424">
        <v>122</v>
      </c>
      <c r="B424" s="1">
        <v>46063</v>
      </c>
      <c r="C424">
        <v>103</v>
      </c>
      <c r="D424" t="s">
        <v>32</v>
      </c>
      <c r="E424" t="s">
        <v>31</v>
      </c>
      <c r="F424">
        <v>202</v>
      </c>
      <c r="G424" t="s">
        <v>19</v>
      </c>
      <c r="H424" s="39" t="s">
        <v>18</v>
      </c>
      <c r="I424">
        <v>5</v>
      </c>
      <c r="J424">
        <v>2800000</v>
      </c>
      <c r="K424">
        <v>2100000</v>
      </c>
      <c r="L424">
        <v>14000000</v>
      </c>
      <c r="M424">
        <v>3500000</v>
      </c>
    </row>
    <row r="425" spans="1:13" x14ac:dyDescent="0.3">
      <c r="A425">
        <v>124</v>
      </c>
      <c r="B425" s="1">
        <v>46064</v>
      </c>
      <c r="C425">
        <v>103</v>
      </c>
      <c r="D425" t="s">
        <v>32</v>
      </c>
      <c r="E425" t="s">
        <v>31</v>
      </c>
      <c r="F425">
        <v>204</v>
      </c>
      <c r="G425" t="s">
        <v>22</v>
      </c>
      <c r="H425" s="39" t="s">
        <v>21</v>
      </c>
      <c r="I425">
        <v>1</v>
      </c>
      <c r="J425">
        <v>533500</v>
      </c>
      <c r="K425">
        <v>330000</v>
      </c>
      <c r="L425">
        <v>533500</v>
      </c>
      <c r="M425">
        <v>203500</v>
      </c>
    </row>
    <row r="426" spans="1:13" x14ac:dyDescent="0.3">
      <c r="A426">
        <v>133</v>
      </c>
      <c r="B426" s="1">
        <v>46067</v>
      </c>
      <c r="C426">
        <v>103</v>
      </c>
      <c r="D426" t="s">
        <v>32</v>
      </c>
      <c r="E426" t="s">
        <v>31</v>
      </c>
      <c r="F426">
        <v>201</v>
      </c>
      <c r="G426" t="s">
        <v>17</v>
      </c>
      <c r="H426" s="39" t="s">
        <v>18</v>
      </c>
      <c r="I426">
        <v>1</v>
      </c>
      <c r="J426">
        <v>8245000</v>
      </c>
      <c r="K426">
        <v>6800000</v>
      </c>
      <c r="L426">
        <v>8245000</v>
      </c>
      <c r="M426">
        <v>1445000</v>
      </c>
    </row>
    <row r="427" spans="1:13" x14ac:dyDescent="0.3">
      <c r="A427">
        <v>138</v>
      </c>
      <c r="B427" s="1">
        <v>46069</v>
      </c>
      <c r="C427">
        <v>103</v>
      </c>
      <c r="D427" t="s">
        <v>32</v>
      </c>
      <c r="E427" t="s">
        <v>31</v>
      </c>
      <c r="F427">
        <v>205</v>
      </c>
      <c r="G427" t="s">
        <v>23</v>
      </c>
      <c r="H427" s="39" t="s">
        <v>16</v>
      </c>
      <c r="I427">
        <v>3</v>
      </c>
      <c r="J427">
        <v>2024000</v>
      </c>
      <c r="K427">
        <v>1450000</v>
      </c>
      <c r="L427">
        <v>6072000</v>
      </c>
      <c r="M427">
        <v>1722000</v>
      </c>
    </row>
    <row r="428" spans="1:13" x14ac:dyDescent="0.3">
      <c r="A428">
        <v>141</v>
      </c>
      <c r="B428" s="1">
        <v>46069</v>
      </c>
      <c r="C428">
        <v>103</v>
      </c>
      <c r="D428" t="s">
        <v>32</v>
      </c>
      <c r="E428" t="s">
        <v>31</v>
      </c>
      <c r="F428">
        <v>204</v>
      </c>
      <c r="G428" t="s">
        <v>22</v>
      </c>
      <c r="H428" s="39" t="s">
        <v>21</v>
      </c>
      <c r="I428">
        <v>5</v>
      </c>
      <c r="J428">
        <v>506000</v>
      </c>
      <c r="K428">
        <v>330000</v>
      </c>
      <c r="L428">
        <v>2530000</v>
      </c>
      <c r="M428">
        <v>880000</v>
      </c>
    </row>
    <row r="429" spans="1:13" x14ac:dyDescent="0.3">
      <c r="A429">
        <v>150</v>
      </c>
      <c r="B429" s="1">
        <v>46072</v>
      </c>
      <c r="C429">
        <v>103</v>
      </c>
      <c r="D429" t="s">
        <v>32</v>
      </c>
      <c r="E429" t="s">
        <v>31</v>
      </c>
      <c r="F429">
        <v>203</v>
      </c>
      <c r="G429" t="s">
        <v>20</v>
      </c>
      <c r="H429" s="39" t="s">
        <v>21</v>
      </c>
      <c r="I429">
        <v>3</v>
      </c>
      <c r="J429">
        <v>874000</v>
      </c>
      <c r="K429">
        <v>620000</v>
      </c>
      <c r="L429">
        <v>2622000</v>
      </c>
      <c r="M429">
        <v>762000</v>
      </c>
    </row>
    <row r="430" spans="1:13" x14ac:dyDescent="0.3">
      <c r="A430">
        <v>173</v>
      </c>
      <c r="B430" s="1">
        <v>46078</v>
      </c>
      <c r="C430">
        <v>103</v>
      </c>
      <c r="D430" t="s">
        <v>32</v>
      </c>
      <c r="E430" t="s">
        <v>31</v>
      </c>
      <c r="F430">
        <v>205</v>
      </c>
      <c r="G430" t="s">
        <v>23</v>
      </c>
      <c r="H430" s="39" t="s">
        <v>16</v>
      </c>
      <c r="I430">
        <v>2</v>
      </c>
      <c r="J430">
        <v>2090000</v>
      </c>
      <c r="K430">
        <v>1450000</v>
      </c>
      <c r="L430">
        <v>4180000</v>
      </c>
      <c r="M430">
        <v>1280000</v>
      </c>
    </row>
    <row r="431" spans="1:13" x14ac:dyDescent="0.3">
      <c r="A431">
        <v>174</v>
      </c>
      <c r="B431" s="1">
        <v>46079</v>
      </c>
      <c r="C431">
        <v>103</v>
      </c>
      <c r="D431" t="s">
        <v>32</v>
      </c>
      <c r="E431" t="s">
        <v>31</v>
      </c>
      <c r="F431">
        <v>201</v>
      </c>
      <c r="G431" t="s">
        <v>17</v>
      </c>
      <c r="H431" s="39" t="s">
        <v>18</v>
      </c>
      <c r="I431">
        <v>5</v>
      </c>
      <c r="J431">
        <v>8500000</v>
      </c>
      <c r="K431">
        <v>6800000</v>
      </c>
      <c r="L431">
        <v>42500000</v>
      </c>
      <c r="M431">
        <v>8500000</v>
      </c>
    </row>
    <row r="432" spans="1:13" x14ac:dyDescent="0.3">
      <c r="A432">
        <v>181</v>
      </c>
      <c r="B432" s="1">
        <v>46081</v>
      </c>
      <c r="C432">
        <v>103</v>
      </c>
      <c r="D432" t="s">
        <v>32</v>
      </c>
      <c r="E432" t="s">
        <v>31</v>
      </c>
      <c r="F432">
        <v>206</v>
      </c>
      <c r="G432" t="s">
        <v>15</v>
      </c>
      <c r="H432" s="39" t="s">
        <v>16</v>
      </c>
      <c r="I432">
        <v>5</v>
      </c>
      <c r="J432">
        <v>3325000</v>
      </c>
      <c r="K432">
        <v>2350000</v>
      </c>
      <c r="L432">
        <v>16625000</v>
      </c>
      <c r="M432">
        <v>4875000</v>
      </c>
    </row>
    <row r="433" spans="1:13" x14ac:dyDescent="0.3">
      <c r="A433">
        <v>185</v>
      </c>
      <c r="B433" s="1">
        <v>46082</v>
      </c>
      <c r="C433">
        <v>103</v>
      </c>
      <c r="D433" t="s">
        <v>32</v>
      </c>
      <c r="E433" t="s">
        <v>31</v>
      </c>
      <c r="F433">
        <v>206</v>
      </c>
      <c r="G433" t="s">
        <v>15</v>
      </c>
      <c r="H433" s="39" t="s">
        <v>16</v>
      </c>
      <c r="I433">
        <v>3</v>
      </c>
      <c r="J433">
        <v>3395000</v>
      </c>
      <c r="K433">
        <v>2350000</v>
      </c>
      <c r="L433">
        <v>10185000</v>
      </c>
      <c r="M433">
        <v>3135000</v>
      </c>
    </row>
    <row r="434" spans="1:13" x14ac:dyDescent="0.3">
      <c r="A434">
        <v>189</v>
      </c>
      <c r="B434" s="1">
        <v>46084</v>
      </c>
      <c r="C434">
        <v>103</v>
      </c>
      <c r="D434" t="s">
        <v>32</v>
      </c>
      <c r="E434" t="s">
        <v>31</v>
      </c>
      <c r="F434">
        <v>205</v>
      </c>
      <c r="G434" t="s">
        <v>23</v>
      </c>
      <c r="H434" s="39" t="s">
        <v>16</v>
      </c>
      <c r="I434">
        <v>5</v>
      </c>
      <c r="J434">
        <v>2200000</v>
      </c>
      <c r="K434">
        <v>1450000</v>
      </c>
      <c r="L434">
        <v>11000000</v>
      </c>
      <c r="M434">
        <v>3750000</v>
      </c>
    </row>
    <row r="435" spans="1:13" x14ac:dyDescent="0.3">
      <c r="A435">
        <v>225</v>
      </c>
      <c r="B435" s="1">
        <v>46097</v>
      </c>
      <c r="C435">
        <v>103</v>
      </c>
      <c r="D435" t="s">
        <v>32</v>
      </c>
      <c r="E435" t="s">
        <v>31</v>
      </c>
      <c r="F435">
        <v>203</v>
      </c>
      <c r="G435" t="s">
        <v>20</v>
      </c>
      <c r="H435" s="39" t="s">
        <v>21</v>
      </c>
      <c r="I435">
        <v>3</v>
      </c>
      <c r="J435">
        <v>921500</v>
      </c>
      <c r="K435">
        <v>620000</v>
      </c>
      <c r="L435">
        <v>2764500</v>
      </c>
      <c r="M435">
        <v>904500</v>
      </c>
    </row>
    <row r="436" spans="1:13" x14ac:dyDescent="0.3">
      <c r="A436">
        <v>229</v>
      </c>
      <c r="B436" s="1">
        <v>46098</v>
      </c>
      <c r="C436">
        <v>103</v>
      </c>
      <c r="D436" t="s">
        <v>32</v>
      </c>
      <c r="E436" t="s">
        <v>31</v>
      </c>
      <c r="F436">
        <v>202</v>
      </c>
      <c r="G436" t="s">
        <v>19</v>
      </c>
      <c r="H436" s="39" t="s">
        <v>18</v>
      </c>
      <c r="I436">
        <v>4</v>
      </c>
      <c r="J436">
        <v>2716000</v>
      </c>
      <c r="K436">
        <v>2100000</v>
      </c>
      <c r="L436">
        <v>10864000</v>
      </c>
      <c r="M436">
        <v>2464000</v>
      </c>
    </row>
    <row r="437" spans="1:13" x14ac:dyDescent="0.3">
      <c r="A437">
        <v>238</v>
      </c>
      <c r="B437" s="1">
        <v>46102</v>
      </c>
      <c r="C437">
        <v>103</v>
      </c>
      <c r="D437" t="s">
        <v>32</v>
      </c>
      <c r="E437" t="s">
        <v>31</v>
      </c>
      <c r="F437">
        <v>204</v>
      </c>
      <c r="G437" t="s">
        <v>22</v>
      </c>
      <c r="H437" s="39" t="s">
        <v>21</v>
      </c>
      <c r="I437">
        <v>2</v>
      </c>
      <c r="J437">
        <v>533500</v>
      </c>
      <c r="K437">
        <v>330000</v>
      </c>
      <c r="L437">
        <v>1067000</v>
      </c>
      <c r="M437">
        <v>407000</v>
      </c>
    </row>
    <row r="438" spans="1:13" x14ac:dyDescent="0.3">
      <c r="A438">
        <v>265</v>
      </c>
      <c r="B438" s="1">
        <v>46111</v>
      </c>
      <c r="C438">
        <v>103</v>
      </c>
      <c r="D438" t="s">
        <v>32</v>
      </c>
      <c r="E438" t="s">
        <v>31</v>
      </c>
      <c r="F438">
        <v>203</v>
      </c>
      <c r="G438" t="s">
        <v>20</v>
      </c>
      <c r="H438" s="39" t="s">
        <v>21</v>
      </c>
      <c r="I438">
        <v>3</v>
      </c>
      <c r="J438">
        <v>874000</v>
      </c>
      <c r="K438">
        <v>620000</v>
      </c>
      <c r="L438">
        <v>2622000</v>
      </c>
      <c r="M438">
        <v>762000</v>
      </c>
    </row>
    <row r="439" spans="1:13" x14ac:dyDescent="0.3">
      <c r="A439">
        <v>272</v>
      </c>
      <c r="B439" s="1">
        <v>46114</v>
      </c>
      <c r="C439">
        <v>103</v>
      </c>
      <c r="D439" t="s">
        <v>32</v>
      </c>
      <c r="E439" t="s">
        <v>31</v>
      </c>
      <c r="F439">
        <v>202</v>
      </c>
      <c r="G439" t="s">
        <v>19</v>
      </c>
      <c r="H439" s="39" t="s">
        <v>18</v>
      </c>
      <c r="I439">
        <v>1</v>
      </c>
      <c r="J439">
        <v>2716000</v>
      </c>
      <c r="K439">
        <v>2100000</v>
      </c>
      <c r="L439">
        <v>2716000</v>
      </c>
      <c r="M439">
        <v>616000</v>
      </c>
    </row>
    <row r="440" spans="1:13" x14ac:dyDescent="0.3">
      <c r="A440">
        <v>286</v>
      </c>
      <c r="B440" s="1">
        <v>46118</v>
      </c>
      <c r="C440">
        <v>103</v>
      </c>
      <c r="D440" t="s">
        <v>32</v>
      </c>
      <c r="E440" t="s">
        <v>31</v>
      </c>
      <c r="F440">
        <v>201</v>
      </c>
      <c r="G440" t="s">
        <v>17</v>
      </c>
      <c r="H440" s="39" t="s">
        <v>18</v>
      </c>
      <c r="I440">
        <v>1</v>
      </c>
      <c r="J440">
        <v>8245000</v>
      </c>
      <c r="K440">
        <v>6800000</v>
      </c>
      <c r="L440">
        <v>8245000</v>
      </c>
      <c r="M440">
        <v>1445000</v>
      </c>
    </row>
    <row r="441" spans="1:13" x14ac:dyDescent="0.3">
      <c r="A441">
        <v>289</v>
      </c>
      <c r="B441" s="1">
        <v>46119</v>
      </c>
      <c r="C441">
        <v>103</v>
      </c>
      <c r="D441" t="s">
        <v>32</v>
      </c>
      <c r="E441" t="s">
        <v>31</v>
      </c>
      <c r="F441">
        <v>206</v>
      </c>
      <c r="G441" t="s">
        <v>15</v>
      </c>
      <c r="H441" s="39" t="s">
        <v>16</v>
      </c>
      <c r="I441">
        <v>2</v>
      </c>
      <c r="J441">
        <v>3395000</v>
      </c>
      <c r="K441">
        <v>2350000</v>
      </c>
      <c r="L441">
        <v>6790000</v>
      </c>
      <c r="M441">
        <v>2090000</v>
      </c>
    </row>
    <row r="442" spans="1:13" x14ac:dyDescent="0.3">
      <c r="A442">
        <v>294</v>
      </c>
      <c r="B442" s="1">
        <v>46121</v>
      </c>
      <c r="C442">
        <v>103</v>
      </c>
      <c r="D442" t="s">
        <v>32</v>
      </c>
      <c r="E442" t="s">
        <v>31</v>
      </c>
      <c r="F442">
        <v>201</v>
      </c>
      <c r="G442" t="s">
        <v>17</v>
      </c>
      <c r="H442" s="39" t="s">
        <v>18</v>
      </c>
      <c r="I442">
        <v>5</v>
      </c>
      <c r="J442">
        <v>8075000</v>
      </c>
      <c r="K442">
        <v>6800000</v>
      </c>
      <c r="L442">
        <v>40375000</v>
      </c>
      <c r="M442">
        <v>6375000</v>
      </c>
    </row>
    <row r="443" spans="1:13" x14ac:dyDescent="0.3">
      <c r="A443">
        <v>302</v>
      </c>
      <c r="B443" s="1">
        <v>46125</v>
      </c>
      <c r="C443">
        <v>103</v>
      </c>
      <c r="D443" t="s">
        <v>32</v>
      </c>
      <c r="E443" t="s">
        <v>31</v>
      </c>
      <c r="F443">
        <v>202</v>
      </c>
      <c r="G443" t="s">
        <v>19</v>
      </c>
      <c r="H443" s="39" t="s">
        <v>18</v>
      </c>
      <c r="I443">
        <v>3</v>
      </c>
      <c r="J443">
        <v>2576000</v>
      </c>
      <c r="K443">
        <v>2100000</v>
      </c>
      <c r="L443">
        <v>7728000</v>
      </c>
      <c r="M443">
        <v>1428000</v>
      </c>
    </row>
    <row r="444" spans="1:13" x14ac:dyDescent="0.3">
      <c r="A444">
        <v>316</v>
      </c>
      <c r="B444" s="1">
        <v>46129</v>
      </c>
      <c r="C444">
        <v>103</v>
      </c>
      <c r="D444" t="s">
        <v>32</v>
      </c>
      <c r="E444" t="s">
        <v>31</v>
      </c>
      <c r="F444">
        <v>203</v>
      </c>
      <c r="G444" t="s">
        <v>20</v>
      </c>
      <c r="H444" s="39" t="s">
        <v>21</v>
      </c>
      <c r="I444">
        <v>5</v>
      </c>
      <c r="J444">
        <v>902500</v>
      </c>
      <c r="K444">
        <v>620000</v>
      </c>
      <c r="L444">
        <v>4512500</v>
      </c>
      <c r="M444">
        <v>1412500</v>
      </c>
    </row>
    <row r="445" spans="1:13" x14ac:dyDescent="0.3">
      <c r="A445">
        <v>321</v>
      </c>
      <c r="B445" s="1">
        <v>46130</v>
      </c>
      <c r="C445">
        <v>103</v>
      </c>
      <c r="D445" t="s">
        <v>32</v>
      </c>
      <c r="E445" t="s">
        <v>31</v>
      </c>
      <c r="F445">
        <v>206</v>
      </c>
      <c r="G445" t="s">
        <v>15</v>
      </c>
      <c r="H445" s="39" t="s">
        <v>16</v>
      </c>
      <c r="I445">
        <v>5</v>
      </c>
      <c r="J445">
        <v>3395000</v>
      </c>
      <c r="K445">
        <v>2350000</v>
      </c>
      <c r="L445">
        <v>16975000</v>
      </c>
      <c r="M445">
        <v>5225000</v>
      </c>
    </row>
    <row r="446" spans="1:13" x14ac:dyDescent="0.3">
      <c r="A446">
        <v>326</v>
      </c>
      <c r="B446" s="1">
        <v>46132</v>
      </c>
      <c r="C446">
        <v>103</v>
      </c>
      <c r="D446" t="s">
        <v>32</v>
      </c>
      <c r="E446" t="s">
        <v>31</v>
      </c>
      <c r="F446">
        <v>201</v>
      </c>
      <c r="G446" t="s">
        <v>17</v>
      </c>
      <c r="H446" s="39" t="s">
        <v>18</v>
      </c>
      <c r="I446">
        <v>3</v>
      </c>
      <c r="J446">
        <v>8245000</v>
      </c>
      <c r="K446">
        <v>6800000</v>
      </c>
      <c r="L446">
        <v>24735000</v>
      </c>
      <c r="M446">
        <v>4335000</v>
      </c>
    </row>
    <row r="447" spans="1:13" x14ac:dyDescent="0.3">
      <c r="A447">
        <v>338</v>
      </c>
      <c r="B447" s="1">
        <v>46136</v>
      </c>
      <c r="C447">
        <v>103</v>
      </c>
      <c r="D447" t="s">
        <v>32</v>
      </c>
      <c r="E447" t="s">
        <v>31</v>
      </c>
      <c r="F447">
        <v>201</v>
      </c>
      <c r="G447" t="s">
        <v>17</v>
      </c>
      <c r="H447" s="39" t="s">
        <v>18</v>
      </c>
      <c r="I447">
        <v>1</v>
      </c>
      <c r="J447">
        <v>7820000</v>
      </c>
      <c r="K447">
        <v>6800000</v>
      </c>
      <c r="L447">
        <v>7820000</v>
      </c>
      <c r="M447">
        <v>1020000</v>
      </c>
    </row>
    <row r="448" spans="1:13" x14ac:dyDescent="0.3">
      <c r="A448">
        <v>350</v>
      </c>
      <c r="B448" s="1">
        <v>46140</v>
      </c>
      <c r="C448">
        <v>103</v>
      </c>
      <c r="D448" t="s">
        <v>32</v>
      </c>
      <c r="E448" t="s">
        <v>31</v>
      </c>
      <c r="F448">
        <v>202</v>
      </c>
      <c r="G448" t="s">
        <v>19</v>
      </c>
      <c r="H448" s="39" t="s">
        <v>18</v>
      </c>
      <c r="I448">
        <v>5</v>
      </c>
      <c r="J448">
        <v>2716000</v>
      </c>
      <c r="K448">
        <v>2100000</v>
      </c>
      <c r="L448">
        <v>13580000</v>
      </c>
      <c r="M448">
        <v>3080000</v>
      </c>
    </row>
    <row r="449" spans="1:13" x14ac:dyDescent="0.3">
      <c r="A449">
        <v>363</v>
      </c>
      <c r="B449" s="1">
        <v>46146</v>
      </c>
      <c r="C449">
        <v>103</v>
      </c>
      <c r="D449" t="s">
        <v>32</v>
      </c>
      <c r="E449" t="s">
        <v>31</v>
      </c>
      <c r="F449">
        <v>205</v>
      </c>
      <c r="G449" t="s">
        <v>23</v>
      </c>
      <c r="H449" s="39" t="s">
        <v>16</v>
      </c>
      <c r="I449">
        <v>5</v>
      </c>
      <c r="J449">
        <v>2200000</v>
      </c>
      <c r="K449">
        <v>1450000</v>
      </c>
      <c r="L449">
        <v>11000000</v>
      </c>
      <c r="M449">
        <v>3750000</v>
      </c>
    </row>
    <row r="450" spans="1:13" x14ac:dyDescent="0.3">
      <c r="A450">
        <v>364</v>
      </c>
      <c r="B450" s="1">
        <v>46146</v>
      </c>
      <c r="C450">
        <v>103</v>
      </c>
      <c r="D450" t="s">
        <v>32</v>
      </c>
      <c r="E450" t="s">
        <v>31</v>
      </c>
      <c r="F450">
        <v>204</v>
      </c>
      <c r="G450" t="s">
        <v>22</v>
      </c>
      <c r="H450" s="39" t="s">
        <v>21</v>
      </c>
      <c r="I450">
        <v>4</v>
      </c>
      <c r="J450">
        <v>550000</v>
      </c>
      <c r="K450">
        <v>330000</v>
      </c>
      <c r="L450">
        <v>2200000</v>
      </c>
      <c r="M450">
        <v>880000</v>
      </c>
    </row>
    <row r="451" spans="1:13" x14ac:dyDescent="0.3">
      <c r="A451">
        <v>380</v>
      </c>
      <c r="B451" s="1">
        <v>46152</v>
      </c>
      <c r="C451">
        <v>103</v>
      </c>
      <c r="D451" t="s">
        <v>32</v>
      </c>
      <c r="E451" t="s">
        <v>31</v>
      </c>
      <c r="F451">
        <v>203</v>
      </c>
      <c r="G451" t="s">
        <v>20</v>
      </c>
      <c r="H451" s="39" t="s">
        <v>21</v>
      </c>
      <c r="I451">
        <v>4</v>
      </c>
      <c r="J451">
        <v>874000</v>
      </c>
      <c r="K451">
        <v>620000</v>
      </c>
      <c r="L451">
        <v>3496000</v>
      </c>
      <c r="M451">
        <v>1016000</v>
      </c>
    </row>
    <row r="452" spans="1:13" x14ac:dyDescent="0.3">
      <c r="A452">
        <v>393</v>
      </c>
      <c r="B452" s="1">
        <v>46155</v>
      </c>
      <c r="C452">
        <v>103</v>
      </c>
      <c r="D452" t="s">
        <v>32</v>
      </c>
      <c r="E452" t="s">
        <v>31</v>
      </c>
      <c r="F452">
        <v>202</v>
      </c>
      <c r="G452" t="s">
        <v>19</v>
      </c>
      <c r="H452" s="39" t="s">
        <v>18</v>
      </c>
      <c r="I452">
        <v>4</v>
      </c>
      <c r="J452">
        <v>2800000</v>
      </c>
      <c r="K452">
        <v>2100000</v>
      </c>
      <c r="L452">
        <v>11200000</v>
      </c>
      <c r="M452">
        <v>2800000</v>
      </c>
    </row>
    <row r="453" spans="1:13" x14ac:dyDescent="0.3">
      <c r="A453">
        <v>406</v>
      </c>
      <c r="B453" s="1">
        <v>46159</v>
      </c>
      <c r="C453">
        <v>103</v>
      </c>
      <c r="D453" t="s">
        <v>32</v>
      </c>
      <c r="E453" t="s">
        <v>31</v>
      </c>
      <c r="F453">
        <v>204</v>
      </c>
      <c r="G453" t="s">
        <v>22</v>
      </c>
      <c r="H453" s="39" t="s">
        <v>21</v>
      </c>
      <c r="I453">
        <v>3</v>
      </c>
      <c r="J453">
        <v>522500</v>
      </c>
      <c r="K453">
        <v>330000</v>
      </c>
      <c r="L453">
        <v>1567500</v>
      </c>
      <c r="M453">
        <v>577500</v>
      </c>
    </row>
    <row r="454" spans="1:13" x14ac:dyDescent="0.3">
      <c r="A454">
        <v>411</v>
      </c>
      <c r="B454" s="1">
        <v>46161</v>
      </c>
      <c r="C454">
        <v>103</v>
      </c>
      <c r="D454" t="s">
        <v>32</v>
      </c>
      <c r="E454" t="s">
        <v>31</v>
      </c>
      <c r="F454">
        <v>205</v>
      </c>
      <c r="G454" t="s">
        <v>23</v>
      </c>
      <c r="H454" s="39" t="s">
        <v>16</v>
      </c>
      <c r="I454">
        <v>1</v>
      </c>
      <c r="J454">
        <v>2134000</v>
      </c>
      <c r="K454">
        <v>1450000</v>
      </c>
      <c r="L454">
        <v>2134000</v>
      </c>
      <c r="M454">
        <v>684000</v>
      </c>
    </row>
    <row r="455" spans="1:13" x14ac:dyDescent="0.3">
      <c r="A455">
        <v>421</v>
      </c>
      <c r="B455" s="1">
        <v>46165</v>
      </c>
      <c r="C455">
        <v>103</v>
      </c>
      <c r="D455" t="s">
        <v>32</v>
      </c>
      <c r="E455" t="s">
        <v>31</v>
      </c>
      <c r="F455">
        <v>206</v>
      </c>
      <c r="G455" t="s">
        <v>15</v>
      </c>
      <c r="H455" s="39" t="s">
        <v>16</v>
      </c>
      <c r="I455">
        <v>4</v>
      </c>
      <c r="J455">
        <v>3220000</v>
      </c>
      <c r="K455">
        <v>2350000</v>
      </c>
      <c r="L455">
        <v>12880000</v>
      </c>
      <c r="M455">
        <v>3480000</v>
      </c>
    </row>
    <row r="456" spans="1:13" x14ac:dyDescent="0.3">
      <c r="A456">
        <v>440</v>
      </c>
      <c r="B456" s="1">
        <v>46173</v>
      </c>
      <c r="C456">
        <v>103</v>
      </c>
      <c r="D456" t="s">
        <v>32</v>
      </c>
      <c r="E456" t="s">
        <v>31</v>
      </c>
      <c r="F456">
        <v>201</v>
      </c>
      <c r="G456" t="s">
        <v>17</v>
      </c>
      <c r="H456" s="39" t="s">
        <v>18</v>
      </c>
      <c r="I456">
        <v>1</v>
      </c>
      <c r="J456">
        <v>7820000</v>
      </c>
      <c r="K456">
        <v>6800000</v>
      </c>
      <c r="L456">
        <v>7820000</v>
      </c>
      <c r="M456">
        <v>1020000</v>
      </c>
    </row>
    <row r="457" spans="1:13" x14ac:dyDescent="0.3">
      <c r="A457">
        <v>444</v>
      </c>
      <c r="B457" s="1">
        <v>46175</v>
      </c>
      <c r="C457">
        <v>103</v>
      </c>
      <c r="D457" t="s">
        <v>32</v>
      </c>
      <c r="E457" t="s">
        <v>31</v>
      </c>
      <c r="F457">
        <v>201</v>
      </c>
      <c r="G457" t="s">
        <v>17</v>
      </c>
      <c r="H457" s="39" t="s">
        <v>18</v>
      </c>
      <c r="I457">
        <v>2</v>
      </c>
      <c r="J457">
        <v>8500000</v>
      </c>
      <c r="K457">
        <v>6800000</v>
      </c>
      <c r="L457">
        <v>17000000</v>
      </c>
      <c r="M457">
        <v>3400000</v>
      </c>
    </row>
    <row r="458" spans="1:13" x14ac:dyDescent="0.3">
      <c r="A458">
        <v>448</v>
      </c>
      <c r="B458" s="1">
        <v>46176</v>
      </c>
      <c r="C458">
        <v>103</v>
      </c>
      <c r="D458" t="s">
        <v>32</v>
      </c>
      <c r="E458" t="s">
        <v>31</v>
      </c>
      <c r="F458">
        <v>206</v>
      </c>
      <c r="G458" t="s">
        <v>15</v>
      </c>
      <c r="H458" s="39" t="s">
        <v>16</v>
      </c>
      <c r="I458">
        <v>1</v>
      </c>
      <c r="J458">
        <v>3395000</v>
      </c>
      <c r="K458">
        <v>2350000</v>
      </c>
      <c r="L458">
        <v>3395000</v>
      </c>
      <c r="M458">
        <v>1045000</v>
      </c>
    </row>
    <row r="459" spans="1:13" x14ac:dyDescent="0.3">
      <c r="A459">
        <v>461</v>
      </c>
      <c r="B459" s="1">
        <v>46181</v>
      </c>
      <c r="C459">
        <v>103</v>
      </c>
      <c r="D459" t="s">
        <v>32</v>
      </c>
      <c r="E459" t="s">
        <v>31</v>
      </c>
      <c r="F459">
        <v>202</v>
      </c>
      <c r="G459" t="s">
        <v>19</v>
      </c>
      <c r="H459" s="39" t="s">
        <v>18</v>
      </c>
      <c r="I459">
        <v>5</v>
      </c>
      <c r="J459">
        <v>2800000</v>
      </c>
      <c r="K459">
        <v>2100000</v>
      </c>
      <c r="L459">
        <v>14000000</v>
      </c>
      <c r="M459">
        <v>3500000</v>
      </c>
    </row>
    <row r="460" spans="1:13" x14ac:dyDescent="0.3">
      <c r="A460">
        <v>465</v>
      </c>
      <c r="B460" s="1">
        <v>46182</v>
      </c>
      <c r="C460">
        <v>103</v>
      </c>
      <c r="D460" t="s">
        <v>32</v>
      </c>
      <c r="E460" t="s">
        <v>31</v>
      </c>
      <c r="F460">
        <v>203</v>
      </c>
      <c r="G460" t="s">
        <v>20</v>
      </c>
      <c r="H460" s="39" t="s">
        <v>21</v>
      </c>
      <c r="I460">
        <v>4</v>
      </c>
      <c r="J460">
        <v>902500</v>
      </c>
      <c r="K460">
        <v>620000</v>
      </c>
      <c r="L460">
        <v>3610000</v>
      </c>
      <c r="M460">
        <v>1130000</v>
      </c>
    </row>
    <row r="461" spans="1:13" x14ac:dyDescent="0.3">
      <c r="A461">
        <v>471</v>
      </c>
      <c r="B461" s="1">
        <v>46183</v>
      </c>
      <c r="C461">
        <v>103</v>
      </c>
      <c r="D461" t="s">
        <v>32</v>
      </c>
      <c r="E461" t="s">
        <v>31</v>
      </c>
      <c r="F461">
        <v>206</v>
      </c>
      <c r="G461" t="s">
        <v>15</v>
      </c>
      <c r="H461" s="39" t="s">
        <v>16</v>
      </c>
      <c r="I461">
        <v>4</v>
      </c>
      <c r="J461">
        <v>3325000</v>
      </c>
      <c r="K461">
        <v>2350000</v>
      </c>
      <c r="L461">
        <v>13300000</v>
      </c>
      <c r="M461">
        <v>3900000</v>
      </c>
    </row>
    <row r="462" spans="1:13" x14ac:dyDescent="0.3">
      <c r="A462">
        <v>487</v>
      </c>
      <c r="B462" s="1">
        <v>46189</v>
      </c>
      <c r="C462">
        <v>103</v>
      </c>
      <c r="D462" t="s">
        <v>32</v>
      </c>
      <c r="E462" t="s">
        <v>31</v>
      </c>
      <c r="F462">
        <v>205</v>
      </c>
      <c r="G462" t="s">
        <v>23</v>
      </c>
      <c r="H462" s="39" t="s">
        <v>16</v>
      </c>
      <c r="I462">
        <v>5</v>
      </c>
      <c r="J462">
        <v>2024000</v>
      </c>
      <c r="K462">
        <v>1450000</v>
      </c>
      <c r="L462">
        <v>10120000</v>
      </c>
      <c r="M462">
        <v>2870000</v>
      </c>
    </row>
    <row r="463" spans="1:13" x14ac:dyDescent="0.3">
      <c r="A463">
        <v>495</v>
      </c>
      <c r="B463" s="1">
        <v>46191</v>
      </c>
      <c r="C463">
        <v>103</v>
      </c>
      <c r="D463" t="s">
        <v>32</v>
      </c>
      <c r="E463" t="s">
        <v>31</v>
      </c>
      <c r="F463">
        <v>203</v>
      </c>
      <c r="G463" t="s">
        <v>20</v>
      </c>
      <c r="H463" s="39" t="s">
        <v>21</v>
      </c>
      <c r="I463">
        <v>1</v>
      </c>
      <c r="J463">
        <v>874000</v>
      </c>
      <c r="K463">
        <v>620000</v>
      </c>
      <c r="L463">
        <v>874000</v>
      </c>
      <c r="M463">
        <v>254000</v>
      </c>
    </row>
    <row r="464" spans="1:13" x14ac:dyDescent="0.3">
      <c r="A464">
        <v>500</v>
      </c>
      <c r="B464" s="1">
        <v>46193</v>
      </c>
      <c r="C464">
        <v>103</v>
      </c>
      <c r="D464" t="s">
        <v>32</v>
      </c>
      <c r="E464" t="s">
        <v>31</v>
      </c>
      <c r="F464">
        <v>206</v>
      </c>
      <c r="G464" t="s">
        <v>15</v>
      </c>
      <c r="H464" s="39" t="s">
        <v>16</v>
      </c>
      <c r="I464">
        <v>5</v>
      </c>
      <c r="J464">
        <v>3220000</v>
      </c>
      <c r="K464">
        <v>2350000</v>
      </c>
      <c r="L464">
        <v>16100000</v>
      </c>
      <c r="M464">
        <v>4350000</v>
      </c>
    </row>
    <row r="465" spans="1:13" x14ac:dyDescent="0.3">
      <c r="A465">
        <v>505</v>
      </c>
      <c r="B465" s="1">
        <v>46194</v>
      </c>
      <c r="C465">
        <v>103</v>
      </c>
      <c r="D465" t="s">
        <v>32</v>
      </c>
      <c r="E465" t="s">
        <v>31</v>
      </c>
      <c r="F465">
        <v>203</v>
      </c>
      <c r="G465" t="s">
        <v>20</v>
      </c>
      <c r="H465" s="39" t="s">
        <v>21</v>
      </c>
      <c r="I465">
        <v>3</v>
      </c>
      <c r="J465">
        <v>921500</v>
      </c>
      <c r="K465">
        <v>620000</v>
      </c>
      <c r="L465">
        <v>2764500</v>
      </c>
      <c r="M465">
        <v>904500</v>
      </c>
    </row>
    <row r="466" spans="1:13" x14ac:dyDescent="0.3">
      <c r="A466">
        <v>507</v>
      </c>
      <c r="B466" s="1">
        <v>46195</v>
      </c>
      <c r="C466">
        <v>103</v>
      </c>
      <c r="D466" t="s">
        <v>32</v>
      </c>
      <c r="E466" t="s">
        <v>31</v>
      </c>
      <c r="F466">
        <v>206</v>
      </c>
      <c r="G466" t="s">
        <v>15</v>
      </c>
      <c r="H466" s="39" t="s">
        <v>16</v>
      </c>
      <c r="I466">
        <v>3</v>
      </c>
      <c r="J466">
        <v>3500000</v>
      </c>
      <c r="K466">
        <v>2350000</v>
      </c>
      <c r="L466">
        <v>10500000</v>
      </c>
      <c r="M466">
        <v>3450000</v>
      </c>
    </row>
    <row r="467" spans="1:13" x14ac:dyDescent="0.3">
      <c r="A467">
        <v>508</v>
      </c>
      <c r="B467" s="1">
        <v>46195</v>
      </c>
      <c r="C467">
        <v>103</v>
      </c>
      <c r="D467" t="s">
        <v>32</v>
      </c>
      <c r="E467" t="s">
        <v>31</v>
      </c>
      <c r="F467">
        <v>201</v>
      </c>
      <c r="G467" t="s">
        <v>17</v>
      </c>
      <c r="H467" s="39" t="s">
        <v>18</v>
      </c>
      <c r="I467">
        <v>1</v>
      </c>
      <c r="J467">
        <v>8245000</v>
      </c>
      <c r="K467">
        <v>6800000</v>
      </c>
      <c r="L467">
        <v>8245000</v>
      </c>
      <c r="M467">
        <v>1445000</v>
      </c>
    </row>
    <row r="468" spans="1:13" x14ac:dyDescent="0.3">
      <c r="A468">
        <v>526</v>
      </c>
      <c r="B468" s="1">
        <v>46201</v>
      </c>
      <c r="C468">
        <v>103</v>
      </c>
      <c r="D468" t="s">
        <v>32</v>
      </c>
      <c r="E468" t="s">
        <v>31</v>
      </c>
      <c r="F468">
        <v>205</v>
      </c>
      <c r="G468" t="s">
        <v>23</v>
      </c>
      <c r="H468" s="39" t="s">
        <v>16</v>
      </c>
      <c r="I468">
        <v>4</v>
      </c>
      <c r="J468">
        <v>2134000</v>
      </c>
      <c r="K468">
        <v>1450000</v>
      </c>
      <c r="L468">
        <v>8536000</v>
      </c>
      <c r="M468">
        <v>2736000</v>
      </c>
    </row>
    <row r="469" spans="1:13" x14ac:dyDescent="0.3">
      <c r="A469">
        <v>527</v>
      </c>
      <c r="B469" s="1">
        <v>46201</v>
      </c>
      <c r="C469">
        <v>103</v>
      </c>
      <c r="D469" t="s">
        <v>32</v>
      </c>
      <c r="E469" t="s">
        <v>31</v>
      </c>
      <c r="F469">
        <v>205</v>
      </c>
      <c r="G469" t="s">
        <v>23</v>
      </c>
      <c r="H469" s="39" t="s">
        <v>16</v>
      </c>
      <c r="I469">
        <v>4</v>
      </c>
      <c r="J469">
        <v>2024000</v>
      </c>
      <c r="K469">
        <v>1450000</v>
      </c>
      <c r="L469">
        <v>8096000</v>
      </c>
      <c r="M469">
        <v>2296000</v>
      </c>
    </row>
    <row r="470" spans="1:13" x14ac:dyDescent="0.3">
      <c r="A470">
        <v>529</v>
      </c>
      <c r="B470" s="1">
        <v>46202</v>
      </c>
      <c r="C470">
        <v>103</v>
      </c>
      <c r="D470" t="s">
        <v>32</v>
      </c>
      <c r="E470" t="s">
        <v>31</v>
      </c>
      <c r="F470">
        <v>202</v>
      </c>
      <c r="G470" t="s">
        <v>19</v>
      </c>
      <c r="H470" s="39" t="s">
        <v>18</v>
      </c>
      <c r="I470">
        <v>4</v>
      </c>
      <c r="J470">
        <v>2660000</v>
      </c>
      <c r="K470">
        <v>2100000</v>
      </c>
      <c r="L470">
        <v>10640000</v>
      </c>
      <c r="M470">
        <v>2240000</v>
      </c>
    </row>
    <row r="471" spans="1:13" x14ac:dyDescent="0.3">
      <c r="A471">
        <v>533</v>
      </c>
      <c r="B471" s="1">
        <v>46203</v>
      </c>
      <c r="C471">
        <v>103</v>
      </c>
      <c r="D471" t="s">
        <v>32</v>
      </c>
      <c r="E471" t="s">
        <v>31</v>
      </c>
      <c r="F471">
        <v>204</v>
      </c>
      <c r="G471" t="s">
        <v>22</v>
      </c>
      <c r="H471" s="39" t="s">
        <v>21</v>
      </c>
      <c r="I471">
        <v>2</v>
      </c>
      <c r="J471">
        <v>550000</v>
      </c>
      <c r="K471">
        <v>330000</v>
      </c>
      <c r="L471">
        <v>1100000</v>
      </c>
      <c r="M471">
        <v>440000</v>
      </c>
    </row>
    <row r="472" spans="1:13" x14ac:dyDescent="0.3">
      <c r="A472">
        <v>3</v>
      </c>
      <c r="B472" s="1">
        <v>46025</v>
      </c>
      <c r="C472">
        <v>105</v>
      </c>
      <c r="D472" t="s">
        <v>33</v>
      </c>
      <c r="E472" t="s">
        <v>34</v>
      </c>
      <c r="F472">
        <v>206</v>
      </c>
      <c r="G472" t="s">
        <v>15</v>
      </c>
      <c r="H472" s="39" t="s">
        <v>16</v>
      </c>
      <c r="I472">
        <v>4</v>
      </c>
      <c r="J472">
        <v>3220000</v>
      </c>
      <c r="K472">
        <v>2350000</v>
      </c>
      <c r="L472">
        <v>12880000</v>
      </c>
      <c r="M472">
        <v>3480000</v>
      </c>
    </row>
    <row r="473" spans="1:13" x14ac:dyDescent="0.3">
      <c r="A473">
        <v>4</v>
      </c>
      <c r="B473" s="1">
        <v>46025</v>
      </c>
      <c r="C473">
        <v>106</v>
      </c>
      <c r="D473" t="s">
        <v>29</v>
      </c>
      <c r="E473" t="s">
        <v>26</v>
      </c>
      <c r="F473">
        <v>205</v>
      </c>
      <c r="G473" t="s">
        <v>23</v>
      </c>
      <c r="H473" s="39" t="s">
        <v>16</v>
      </c>
      <c r="I473">
        <v>3</v>
      </c>
      <c r="J473">
        <v>2200000</v>
      </c>
      <c r="K473">
        <v>1450000</v>
      </c>
      <c r="L473">
        <v>6600000</v>
      </c>
      <c r="M473">
        <v>2250000</v>
      </c>
    </row>
    <row r="474" spans="1:13" x14ac:dyDescent="0.3">
      <c r="A474">
        <v>31</v>
      </c>
      <c r="B474" s="1">
        <v>46034</v>
      </c>
      <c r="C474">
        <v>105</v>
      </c>
      <c r="D474" t="s">
        <v>33</v>
      </c>
      <c r="E474" t="s">
        <v>34</v>
      </c>
      <c r="F474">
        <v>201</v>
      </c>
      <c r="G474" t="s">
        <v>17</v>
      </c>
      <c r="H474" s="39" t="s">
        <v>18</v>
      </c>
      <c r="I474">
        <v>3</v>
      </c>
      <c r="J474">
        <v>7820000</v>
      </c>
      <c r="K474">
        <v>6800000</v>
      </c>
      <c r="L474">
        <v>23460000</v>
      </c>
      <c r="M474">
        <v>3060000</v>
      </c>
    </row>
    <row r="475" spans="1:13" x14ac:dyDescent="0.3">
      <c r="A475">
        <v>32</v>
      </c>
      <c r="B475" s="1">
        <v>46035</v>
      </c>
      <c r="C475">
        <v>105</v>
      </c>
      <c r="D475" t="s">
        <v>33</v>
      </c>
      <c r="E475" t="s">
        <v>34</v>
      </c>
      <c r="F475">
        <v>201</v>
      </c>
      <c r="G475" t="s">
        <v>17</v>
      </c>
      <c r="H475" s="39" t="s">
        <v>18</v>
      </c>
      <c r="I475">
        <v>2</v>
      </c>
      <c r="J475">
        <v>8245000</v>
      </c>
      <c r="K475">
        <v>6800000</v>
      </c>
      <c r="L475">
        <v>16490000</v>
      </c>
      <c r="M475">
        <v>2890000</v>
      </c>
    </row>
    <row r="476" spans="1:13" x14ac:dyDescent="0.3">
      <c r="A476">
        <v>37</v>
      </c>
      <c r="B476" s="1">
        <v>46036</v>
      </c>
      <c r="C476">
        <v>105</v>
      </c>
      <c r="D476" t="s">
        <v>33</v>
      </c>
      <c r="E476" t="s">
        <v>34</v>
      </c>
      <c r="F476">
        <v>204</v>
      </c>
      <c r="G476" t="s">
        <v>22</v>
      </c>
      <c r="H476" s="39" t="s">
        <v>21</v>
      </c>
      <c r="I476">
        <v>4</v>
      </c>
      <c r="J476">
        <v>506000</v>
      </c>
      <c r="K476">
        <v>330000</v>
      </c>
      <c r="L476">
        <v>2024000</v>
      </c>
      <c r="M476">
        <v>704000</v>
      </c>
    </row>
    <row r="477" spans="1:13" x14ac:dyDescent="0.3">
      <c r="A477">
        <v>42</v>
      </c>
      <c r="B477" s="1">
        <v>46038</v>
      </c>
      <c r="C477">
        <v>105</v>
      </c>
      <c r="D477" t="s">
        <v>33</v>
      </c>
      <c r="E477" t="s">
        <v>34</v>
      </c>
      <c r="F477">
        <v>206</v>
      </c>
      <c r="G477" t="s">
        <v>15</v>
      </c>
      <c r="H477" s="39" t="s">
        <v>16</v>
      </c>
      <c r="I477">
        <v>1</v>
      </c>
      <c r="J477">
        <v>3395000</v>
      </c>
      <c r="K477">
        <v>2350000</v>
      </c>
      <c r="L477">
        <v>3395000</v>
      </c>
      <c r="M477">
        <v>1045000</v>
      </c>
    </row>
    <row r="478" spans="1:13" x14ac:dyDescent="0.3">
      <c r="A478">
        <v>45</v>
      </c>
      <c r="B478" s="1">
        <v>46039</v>
      </c>
      <c r="C478">
        <v>105</v>
      </c>
      <c r="D478" t="s">
        <v>33</v>
      </c>
      <c r="E478" t="s">
        <v>34</v>
      </c>
      <c r="F478">
        <v>203</v>
      </c>
      <c r="G478" t="s">
        <v>20</v>
      </c>
      <c r="H478" s="39" t="s">
        <v>21</v>
      </c>
      <c r="I478">
        <v>5</v>
      </c>
      <c r="J478">
        <v>950000</v>
      </c>
      <c r="K478">
        <v>620000</v>
      </c>
      <c r="L478">
        <v>4750000</v>
      </c>
      <c r="M478">
        <v>1650000</v>
      </c>
    </row>
    <row r="479" spans="1:13" x14ac:dyDescent="0.3">
      <c r="A479">
        <v>53</v>
      </c>
      <c r="B479" s="1">
        <v>46042</v>
      </c>
      <c r="C479">
        <v>105</v>
      </c>
      <c r="D479" t="s">
        <v>33</v>
      </c>
      <c r="E479" t="s">
        <v>34</v>
      </c>
      <c r="F479">
        <v>204</v>
      </c>
      <c r="G479" t="s">
        <v>22</v>
      </c>
      <c r="H479" s="39" t="s">
        <v>21</v>
      </c>
      <c r="I479">
        <v>1</v>
      </c>
      <c r="J479">
        <v>533500</v>
      </c>
      <c r="K479">
        <v>330000</v>
      </c>
      <c r="L479">
        <v>533500</v>
      </c>
      <c r="M479">
        <v>203500</v>
      </c>
    </row>
    <row r="480" spans="1:13" x14ac:dyDescent="0.3">
      <c r="A480">
        <v>62</v>
      </c>
      <c r="B480" s="1">
        <v>46044</v>
      </c>
      <c r="C480">
        <v>105</v>
      </c>
      <c r="D480" t="s">
        <v>33</v>
      </c>
      <c r="E480" t="s">
        <v>34</v>
      </c>
      <c r="F480">
        <v>203</v>
      </c>
      <c r="G480" t="s">
        <v>20</v>
      </c>
      <c r="H480" s="39" t="s">
        <v>21</v>
      </c>
      <c r="I480">
        <v>2</v>
      </c>
      <c r="J480">
        <v>902500</v>
      </c>
      <c r="K480">
        <v>620000</v>
      </c>
      <c r="L480">
        <v>1805000</v>
      </c>
      <c r="M480">
        <v>565000</v>
      </c>
    </row>
    <row r="481" spans="1:13" x14ac:dyDescent="0.3">
      <c r="A481">
        <v>63</v>
      </c>
      <c r="B481" s="1">
        <v>46044</v>
      </c>
      <c r="C481">
        <v>105</v>
      </c>
      <c r="D481" t="s">
        <v>33</v>
      </c>
      <c r="E481" t="s">
        <v>34</v>
      </c>
      <c r="F481">
        <v>202</v>
      </c>
      <c r="G481" t="s">
        <v>19</v>
      </c>
      <c r="H481" s="39" t="s">
        <v>18</v>
      </c>
      <c r="I481">
        <v>1</v>
      </c>
      <c r="J481">
        <v>2800000</v>
      </c>
      <c r="K481">
        <v>2100000</v>
      </c>
      <c r="L481">
        <v>2800000</v>
      </c>
      <c r="M481">
        <v>700000</v>
      </c>
    </row>
    <row r="482" spans="1:13" x14ac:dyDescent="0.3">
      <c r="A482">
        <v>69</v>
      </c>
      <c r="B482" s="1">
        <v>46046</v>
      </c>
      <c r="C482">
        <v>105</v>
      </c>
      <c r="D482" t="s">
        <v>33</v>
      </c>
      <c r="E482" t="s">
        <v>34</v>
      </c>
      <c r="F482">
        <v>206</v>
      </c>
      <c r="G482" t="s">
        <v>15</v>
      </c>
      <c r="H482" s="39" t="s">
        <v>16</v>
      </c>
      <c r="I482">
        <v>3</v>
      </c>
      <c r="J482">
        <v>3395000</v>
      </c>
      <c r="K482">
        <v>2350000</v>
      </c>
      <c r="L482">
        <v>10185000</v>
      </c>
      <c r="M482">
        <v>3135000</v>
      </c>
    </row>
    <row r="483" spans="1:13" x14ac:dyDescent="0.3">
      <c r="A483">
        <v>77</v>
      </c>
      <c r="B483" s="1">
        <v>46049</v>
      </c>
      <c r="C483">
        <v>105</v>
      </c>
      <c r="D483" t="s">
        <v>33</v>
      </c>
      <c r="E483" t="s">
        <v>34</v>
      </c>
      <c r="F483">
        <v>203</v>
      </c>
      <c r="G483" t="s">
        <v>20</v>
      </c>
      <c r="H483" s="39" t="s">
        <v>21</v>
      </c>
      <c r="I483">
        <v>2</v>
      </c>
      <c r="J483">
        <v>874000</v>
      </c>
      <c r="K483">
        <v>620000</v>
      </c>
      <c r="L483">
        <v>1748000</v>
      </c>
      <c r="M483">
        <v>508000</v>
      </c>
    </row>
    <row r="484" spans="1:13" x14ac:dyDescent="0.3">
      <c r="A484">
        <v>80</v>
      </c>
      <c r="B484" s="1">
        <v>46050</v>
      </c>
      <c r="C484">
        <v>105</v>
      </c>
      <c r="D484" t="s">
        <v>33</v>
      </c>
      <c r="E484" t="s">
        <v>34</v>
      </c>
      <c r="F484">
        <v>206</v>
      </c>
      <c r="G484" t="s">
        <v>15</v>
      </c>
      <c r="H484" s="39" t="s">
        <v>16</v>
      </c>
      <c r="I484">
        <v>2</v>
      </c>
      <c r="J484">
        <v>3220000</v>
      </c>
      <c r="K484">
        <v>2350000</v>
      </c>
      <c r="L484">
        <v>6440000</v>
      </c>
      <c r="M484">
        <v>1740000</v>
      </c>
    </row>
    <row r="485" spans="1:13" x14ac:dyDescent="0.3">
      <c r="A485">
        <v>106</v>
      </c>
      <c r="B485" s="1">
        <v>46058</v>
      </c>
      <c r="C485">
        <v>105</v>
      </c>
      <c r="D485" t="s">
        <v>33</v>
      </c>
      <c r="E485" t="s">
        <v>34</v>
      </c>
      <c r="F485">
        <v>201</v>
      </c>
      <c r="G485" t="s">
        <v>17</v>
      </c>
      <c r="H485" s="39" t="s">
        <v>18</v>
      </c>
      <c r="I485">
        <v>4</v>
      </c>
      <c r="J485">
        <v>7820000</v>
      </c>
      <c r="K485">
        <v>6800000</v>
      </c>
      <c r="L485">
        <v>31280000</v>
      </c>
      <c r="M485">
        <v>4080000</v>
      </c>
    </row>
    <row r="486" spans="1:13" x14ac:dyDescent="0.3">
      <c r="A486">
        <v>129</v>
      </c>
      <c r="B486" s="1">
        <v>46066</v>
      </c>
      <c r="C486">
        <v>105</v>
      </c>
      <c r="D486" t="s">
        <v>33</v>
      </c>
      <c r="E486" t="s">
        <v>34</v>
      </c>
      <c r="F486">
        <v>205</v>
      </c>
      <c r="G486" t="s">
        <v>23</v>
      </c>
      <c r="H486" s="39" t="s">
        <v>16</v>
      </c>
      <c r="I486">
        <v>5</v>
      </c>
      <c r="J486">
        <v>2024000</v>
      </c>
      <c r="K486">
        <v>1450000</v>
      </c>
      <c r="L486">
        <v>10120000</v>
      </c>
      <c r="M486">
        <v>2870000</v>
      </c>
    </row>
    <row r="487" spans="1:13" x14ac:dyDescent="0.3">
      <c r="A487">
        <v>134</v>
      </c>
      <c r="B487" s="1">
        <v>46068</v>
      </c>
      <c r="C487">
        <v>105</v>
      </c>
      <c r="D487" t="s">
        <v>33</v>
      </c>
      <c r="E487" t="s">
        <v>34</v>
      </c>
      <c r="F487">
        <v>206</v>
      </c>
      <c r="G487" t="s">
        <v>15</v>
      </c>
      <c r="H487" s="39" t="s">
        <v>16</v>
      </c>
      <c r="I487">
        <v>1</v>
      </c>
      <c r="J487">
        <v>3500000</v>
      </c>
      <c r="K487">
        <v>2350000</v>
      </c>
      <c r="L487">
        <v>3500000</v>
      </c>
      <c r="M487">
        <v>1150000</v>
      </c>
    </row>
    <row r="488" spans="1:13" x14ac:dyDescent="0.3">
      <c r="A488">
        <v>146</v>
      </c>
      <c r="B488" s="1">
        <v>46071</v>
      </c>
      <c r="C488">
        <v>105</v>
      </c>
      <c r="D488" t="s">
        <v>33</v>
      </c>
      <c r="E488" t="s">
        <v>34</v>
      </c>
      <c r="F488">
        <v>203</v>
      </c>
      <c r="G488" t="s">
        <v>20</v>
      </c>
      <c r="H488" s="39" t="s">
        <v>21</v>
      </c>
      <c r="I488">
        <v>4</v>
      </c>
      <c r="J488">
        <v>921500</v>
      </c>
      <c r="K488">
        <v>620000</v>
      </c>
      <c r="L488">
        <v>3686000</v>
      </c>
      <c r="M488">
        <v>1206000</v>
      </c>
    </row>
    <row r="489" spans="1:13" x14ac:dyDescent="0.3">
      <c r="A489">
        <v>155</v>
      </c>
      <c r="B489" s="1">
        <v>46073</v>
      </c>
      <c r="C489">
        <v>105</v>
      </c>
      <c r="D489" t="s">
        <v>33</v>
      </c>
      <c r="E489" t="s">
        <v>34</v>
      </c>
      <c r="F489">
        <v>206</v>
      </c>
      <c r="G489" t="s">
        <v>15</v>
      </c>
      <c r="H489" s="39" t="s">
        <v>16</v>
      </c>
      <c r="I489">
        <v>5</v>
      </c>
      <c r="J489">
        <v>3500000</v>
      </c>
      <c r="K489">
        <v>2350000</v>
      </c>
      <c r="L489">
        <v>17500000</v>
      </c>
      <c r="M489">
        <v>5750000</v>
      </c>
    </row>
    <row r="490" spans="1:13" x14ac:dyDescent="0.3">
      <c r="A490">
        <v>156</v>
      </c>
      <c r="B490" s="1">
        <v>46074</v>
      </c>
      <c r="C490">
        <v>105</v>
      </c>
      <c r="D490" t="s">
        <v>33</v>
      </c>
      <c r="E490" t="s">
        <v>34</v>
      </c>
      <c r="F490">
        <v>204</v>
      </c>
      <c r="G490" t="s">
        <v>22</v>
      </c>
      <c r="H490" s="39" t="s">
        <v>21</v>
      </c>
      <c r="I490">
        <v>1</v>
      </c>
      <c r="J490">
        <v>522500</v>
      </c>
      <c r="K490">
        <v>330000</v>
      </c>
      <c r="L490">
        <v>522500</v>
      </c>
      <c r="M490">
        <v>192500</v>
      </c>
    </row>
    <row r="491" spans="1:13" x14ac:dyDescent="0.3">
      <c r="A491">
        <v>163</v>
      </c>
      <c r="B491" s="1">
        <v>46076</v>
      </c>
      <c r="C491">
        <v>105</v>
      </c>
      <c r="D491" t="s">
        <v>33</v>
      </c>
      <c r="E491" t="s">
        <v>34</v>
      </c>
      <c r="F491">
        <v>202</v>
      </c>
      <c r="G491" t="s">
        <v>19</v>
      </c>
      <c r="H491" s="39" t="s">
        <v>18</v>
      </c>
      <c r="I491">
        <v>1</v>
      </c>
      <c r="J491">
        <v>2800000</v>
      </c>
      <c r="K491">
        <v>2100000</v>
      </c>
      <c r="L491">
        <v>2800000</v>
      </c>
      <c r="M491">
        <v>700000</v>
      </c>
    </row>
    <row r="492" spans="1:13" x14ac:dyDescent="0.3">
      <c r="A492">
        <v>164</v>
      </c>
      <c r="B492" s="1">
        <v>46076</v>
      </c>
      <c r="C492">
        <v>105</v>
      </c>
      <c r="D492" t="s">
        <v>33</v>
      </c>
      <c r="E492" t="s">
        <v>34</v>
      </c>
      <c r="F492">
        <v>201</v>
      </c>
      <c r="G492" t="s">
        <v>17</v>
      </c>
      <c r="H492" s="39" t="s">
        <v>18</v>
      </c>
      <c r="I492">
        <v>3</v>
      </c>
      <c r="J492">
        <v>8245000</v>
      </c>
      <c r="K492">
        <v>6800000</v>
      </c>
      <c r="L492">
        <v>24735000</v>
      </c>
      <c r="M492">
        <v>4335000</v>
      </c>
    </row>
    <row r="493" spans="1:13" x14ac:dyDescent="0.3">
      <c r="A493">
        <v>177</v>
      </c>
      <c r="B493" s="1">
        <v>46080</v>
      </c>
      <c r="C493">
        <v>105</v>
      </c>
      <c r="D493" t="s">
        <v>33</v>
      </c>
      <c r="E493" t="s">
        <v>34</v>
      </c>
      <c r="F493">
        <v>206</v>
      </c>
      <c r="G493" t="s">
        <v>15</v>
      </c>
      <c r="H493" s="39" t="s">
        <v>16</v>
      </c>
      <c r="I493">
        <v>5</v>
      </c>
      <c r="J493">
        <v>3395000</v>
      </c>
      <c r="K493">
        <v>2350000</v>
      </c>
      <c r="L493">
        <v>16975000</v>
      </c>
      <c r="M493">
        <v>5225000</v>
      </c>
    </row>
    <row r="494" spans="1:13" x14ac:dyDescent="0.3">
      <c r="A494">
        <v>204</v>
      </c>
      <c r="B494" s="1">
        <v>46089</v>
      </c>
      <c r="C494">
        <v>105</v>
      </c>
      <c r="D494" t="s">
        <v>33</v>
      </c>
      <c r="E494" t="s">
        <v>34</v>
      </c>
      <c r="F494">
        <v>204</v>
      </c>
      <c r="G494" t="s">
        <v>22</v>
      </c>
      <c r="H494" s="39" t="s">
        <v>21</v>
      </c>
      <c r="I494">
        <v>1</v>
      </c>
      <c r="J494">
        <v>506000</v>
      </c>
      <c r="K494">
        <v>330000</v>
      </c>
      <c r="L494">
        <v>506000</v>
      </c>
      <c r="M494">
        <v>176000</v>
      </c>
    </row>
    <row r="495" spans="1:13" x14ac:dyDescent="0.3">
      <c r="A495">
        <v>208</v>
      </c>
      <c r="B495" s="1">
        <v>46091</v>
      </c>
      <c r="C495">
        <v>105</v>
      </c>
      <c r="D495" t="s">
        <v>33</v>
      </c>
      <c r="E495" t="s">
        <v>34</v>
      </c>
      <c r="F495">
        <v>201</v>
      </c>
      <c r="G495" t="s">
        <v>17</v>
      </c>
      <c r="H495" s="39" t="s">
        <v>18</v>
      </c>
      <c r="I495">
        <v>1</v>
      </c>
      <c r="J495">
        <v>8075000</v>
      </c>
      <c r="K495">
        <v>6800000</v>
      </c>
      <c r="L495">
        <v>8075000</v>
      </c>
      <c r="M495">
        <v>1275000</v>
      </c>
    </row>
    <row r="496" spans="1:13" x14ac:dyDescent="0.3">
      <c r="A496">
        <v>215</v>
      </c>
      <c r="B496" s="1">
        <v>46093</v>
      </c>
      <c r="C496">
        <v>105</v>
      </c>
      <c r="D496" t="s">
        <v>33</v>
      </c>
      <c r="E496" t="s">
        <v>34</v>
      </c>
      <c r="F496">
        <v>202</v>
      </c>
      <c r="G496" t="s">
        <v>19</v>
      </c>
      <c r="H496" s="39" t="s">
        <v>18</v>
      </c>
      <c r="I496">
        <v>3</v>
      </c>
      <c r="J496">
        <v>2660000</v>
      </c>
      <c r="K496">
        <v>2100000</v>
      </c>
      <c r="L496">
        <v>7980000</v>
      </c>
      <c r="M496">
        <v>1680000</v>
      </c>
    </row>
    <row r="497" spans="1:13" x14ac:dyDescent="0.3">
      <c r="A497">
        <v>216</v>
      </c>
      <c r="B497" s="1">
        <v>46093</v>
      </c>
      <c r="C497">
        <v>105</v>
      </c>
      <c r="D497" t="s">
        <v>33</v>
      </c>
      <c r="E497" t="s">
        <v>34</v>
      </c>
      <c r="F497">
        <v>205</v>
      </c>
      <c r="G497" t="s">
        <v>23</v>
      </c>
      <c r="H497" s="39" t="s">
        <v>16</v>
      </c>
      <c r="I497">
        <v>2</v>
      </c>
      <c r="J497">
        <v>2090000</v>
      </c>
      <c r="K497">
        <v>1450000</v>
      </c>
      <c r="L497">
        <v>4180000</v>
      </c>
      <c r="M497">
        <v>1280000</v>
      </c>
    </row>
    <row r="498" spans="1:13" x14ac:dyDescent="0.3">
      <c r="A498">
        <v>218</v>
      </c>
      <c r="B498" s="1">
        <v>46094</v>
      </c>
      <c r="C498">
        <v>105</v>
      </c>
      <c r="D498" t="s">
        <v>33</v>
      </c>
      <c r="E498" t="s">
        <v>34</v>
      </c>
      <c r="F498">
        <v>205</v>
      </c>
      <c r="G498" t="s">
        <v>23</v>
      </c>
      <c r="H498" s="39" t="s">
        <v>16</v>
      </c>
      <c r="I498">
        <v>3</v>
      </c>
      <c r="J498">
        <v>2024000</v>
      </c>
      <c r="K498">
        <v>1450000</v>
      </c>
      <c r="L498">
        <v>6072000</v>
      </c>
      <c r="M498">
        <v>1722000</v>
      </c>
    </row>
    <row r="499" spans="1:13" x14ac:dyDescent="0.3">
      <c r="A499">
        <v>221</v>
      </c>
      <c r="B499" s="1">
        <v>46095</v>
      </c>
      <c r="C499">
        <v>105</v>
      </c>
      <c r="D499" t="s">
        <v>33</v>
      </c>
      <c r="E499" t="s">
        <v>34</v>
      </c>
      <c r="F499">
        <v>203</v>
      </c>
      <c r="G499" t="s">
        <v>20</v>
      </c>
      <c r="H499" s="39" t="s">
        <v>21</v>
      </c>
      <c r="I499">
        <v>4</v>
      </c>
      <c r="J499">
        <v>902500</v>
      </c>
      <c r="K499">
        <v>620000</v>
      </c>
      <c r="L499">
        <v>3610000</v>
      </c>
      <c r="M499">
        <v>1130000</v>
      </c>
    </row>
    <row r="500" spans="1:13" x14ac:dyDescent="0.3">
      <c r="A500">
        <v>224</v>
      </c>
      <c r="B500" s="1">
        <v>46096</v>
      </c>
      <c r="C500">
        <v>105</v>
      </c>
      <c r="D500" t="s">
        <v>33</v>
      </c>
      <c r="E500" t="s">
        <v>34</v>
      </c>
      <c r="F500">
        <v>204</v>
      </c>
      <c r="G500" t="s">
        <v>22</v>
      </c>
      <c r="H500" s="39" t="s">
        <v>21</v>
      </c>
      <c r="I500">
        <v>2</v>
      </c>
      <c r="J500">
        <v>506000</v>
      </c>
      <c r="K500">
        <v>330000</v>
      </c>
      <c r="L500">
        <v>1012000</v>
      </c>
      <c r="M500">
        <v>352000</v>
      </c>
    </row>
    <row r="501" spans="1:13" x14ac:dyDescent="0.3">
      <c r="A501">
        <v>227</v>
      </c>
      <c r="B501" s="1">
        <v>46098</v>
      </c>
      <c r="C501">
        <v>105</v>
      </c>
      <c r="D501" t="s">
        <v>33</v>
      </c>
      <c r="E501" t="s">
        <v>34</v>
      </c>
      <c r="F501">
        <v>204</v>
      </c>
      <c r="G501" t="s">
        <v>22</v>
      </c>
      <c r="H501" s="39" t="s">
        <v>21</v>
      </c>
      <c r="I501">
        <v>4</v>
      </c>
      <c r="J501">
        <v>522500</v>
      </c>
      <c r="K501">
        <v>330000</v>
      </c>
      <c r="L501">
        <v>2090000</v>
      </c>
      <c r="M501">
        <v>770000</v>
      </c>
    </row>
    <row r="502" spans="1:13" x14ac:dyDescent="0.3">
      <c r="A502">
        <v>231</v>
      </c>
      <c r="B502" s="1">
        <v>46099</v>
      </c>
      <c r="C502">
        <v>105</v>
      </c>
      <c r="D502" t="s">
        <v>33</v>
      </c>
      <c r="E502" t="s">
        <v>34</v>
      </c>
      <c r="F502">
        <v>203</v>
      </c>
      <c r="G502" t="s">
        <v>20</v>
      </c>
      <c r="H502" s="39" t="s">
        <v>21</v>
      </c>
      <c r="I502">
        <v>5</v>
      </c>
      <c r="J502">
        <v>902500</v>
      </c>
      <c r="K502">
        <v>620000</v>
      </c>
      <c r="L502">
        <v>4512500</v>
      </c>
      <c r="M502">
        <v>1412500</v>
      </c>
    </row>
    <row r="503" spans="1:13" x14ac:dyDescent="0.3">
      <c r="A503">
        <v>234</v>
      </c>
      <c r="B503" s="1">
        <v>46100</v>
      </c>
      <c r="C503">
        <v>105</v>
      </c>
      <c r="D503" t="s">
        <v>33</v>
      </c>
      <c r="E503" t="s">
        <v>34</v>
      </c>
      <c r="F503">
        <v>202</v>
      </c>
      <c r="G503" t="s">
        <v>19</v>
      </c>
      <c r="H503" s="39" t="s">
        <v>18</v>
      </c>
      <c r="I503">
        <v>4</v>
      </c>
      <c r="J503">
        <v>2800000</v>
      </c>
      <c r="K503">
        <v>2100000</v>
      </c>
      <c r="L503">
        <v>11200000</v>
      </c>
      <c r="M503">
        <v>2800000</v>
      </c>
    </row>
    <row r="504" spans="1:13" x14ac:dyDescent="0.3">
      <c r="A504">
        <v>235</v>
      </c>
      <c r="B504" s="1">
        <v>46101</v>
      </c>
      <c r="C504">
        <v>105</v>
      </c>
      <c r="D504" t="s">
        <v>33</v>
      </c>
      <c r="E504" t="s">
        <v>34</v>
      </c>
      <c r="F504">
        <v>206</v>
      </c>
      <c r="G504" t="s">
        <v>15</v>
      </c>
      <c r="H504" s="39" t="s">
        <v>16</v>
      </c>
      <c r="I504">
        <v>2</v>
      </c>
      <c r="J504">
        <v>3395000</v>
      </c>
      <c r="K504">
        <v>2350000</v>
      </c>
      <c r="L504">
        <v>6790000</v>
      </c>
      <c r="M504">
        <v>2090000</v>
      </c>
    </row>
    <row r="505" spans="1:13" x14ac:dyDescent="0.3">
      <c r="A505">
        <v>244</v>
      </c>
      <c r="B505" s="1">
        <v>46103</v>
      </c>
      <c r="C505">
        <v>105</v>
      </c>
      <c r="D505" t="s">
        <v>33</v>
      </c>
      <c r="E505" t="s">
        <v>34</v>
      </c>
      <c r="F505">
        <v>206</v>
      </c>
      <c r="G505" t="s">
        <v>15</v>
      </c>
      <c r="H505" s="39" t="s">
        <v>16</v>
      </c>
      <c r="I505">
        <v>1</v>
      </c>
      <c r="J505">
        <v>3220000</v>
      </c>
      <c r="K505">
        <v>2350000</v>
      </c>
      <c r="L505">
        <v>3220000</v>
      </c>
      <c r="M505">
        <v>870000</v>
      </c>
    </row>
    <row r="506" spans="1:13" x14ac:dyDescent="0.3">
      <c r="A506">
        <v>251</v>
      </c>
      <c r="B506" s="1">
        <v>46106</v>
      </c>
      <c r="C506">
        <v>105</v>
      </c>
      <c r="D506" t="s">
        <v>33</v>
      </c>
      <c r="E506" t="s">
        <v>34</v>
      </c>
      <c r="F506">
        <v>202</v>
      </c>
      <c r="G506" t="s">
        <v>19</v>
      </c>
      <c r="H506" s="39" t="s">
        <v>18</v>
      </c>
      <c r="I506">
        <v>5</v>
      </c>
      <c r="J506">
        <v>2576000</v>
      </c>
      <c r="K506">
        <v>2100000</v>
      </c>
      <c r="L506">
        <v>12880000</v>
      </c>
      <c r="M506">
        <v>2380000</v>
      </c>
    </row>
    <row r="507" spans="1:13" x14ac:dyDescent="0.3">
      <c r="A507">
        <v>275</v>
      </c>
      <c r="B507" s="1">
        <v>46115</v>
      </c>
      <c r="C507">
        <v>105</v>
      </c>
      <c r="D507" t="s">
        <v>33</v>
      </c>
      <c r="E507" t="s">
        <v>34</v>
      </c>
      <c r="F507">
        <v>201</v>
      </c>
      <c r="G507" t="s">
        <v>17</v>
      </c>
      <c r="H507" s="39" t="s">
        <v>18</v>
      </c>
      <c r="I507">
        <v>3</v>
      </c>
      <c r="J507">
        <v>8245000</v>
      </c>
      <c r="K507">
        <v>6800000</v>
      </c>
      <c r="L507">
        <v>24735000</v>
      </c>
      <c r="M507">
        <v>4335000</v>
      </c>
    </row>
    <row r="508" spans="1:13" x14ac:dyDescent="0.3">
      <c r="A508">
        <v>303</v>
      </c>
      <c r="B508" s="1">
        <v>46125</v>
      </c>
      <c r="C508">
        <v>105</v>
      </c>
      <c r="D508" t="s">
        <v>33</v>
      </c>
      <c r="E508" t="s">
        <v>34</v>
      </c>
      <c r="F508">
        <v>203</v>
      </c>
      <c r="G508" t="s">
        <v>20</v>
      </c>
      <c r="H508" s="39" t="s">
        <v>21</v>
      </c>
      <c r="I508">
        <v>4</v>
      </c>
      <c r="J508">
        <v>874000</v>
      </c>
      <c r="K508">
        <v>620000</v>
      </c>
      <c r="L508">
        <v>3496000</v>
      </c>
      <c r="M508">
        <v>1016000</v>
      </c>
    </row>
    <row r="509" spans="1:13" x14ac:dyDescent="0.3">
      <c r="A509">
        <v>310</v>
      </c>
      <c r="B509" s="1">
        <v>46127</v>
      </c>
      <c r="C509">
        <v>105</v>
      </c>
      <c r="D509" t="s">
        <v>33</v>
      </c>
      <c r="E509" t="s">
        <v>34</v>
      </c>
      <c r="F509">
        <v>201</v>
      </c>
      <c r="G509" t="s">
        <v>17</v>
      </c>
      <c r="H509" s="39" t="s">
        <v>18</v>
      </c>
      <c r="I509">
        <v>1</v>
      </c>
      <c r="J509">
        <v>8075000</v>
      </c>
      <c r="K509">
        <v>6800000</v>
      </c>
      <c r="L509">
        <v>8075000</v>
      </c>
      <c r="M509">
        <v>1275000</v>
      </c>
    </row>
    <row r="510" spans="1:13" x14ac:dyDescent="0.3">
      <c r="A510">
        <v>319</v>
      </c>
      <c r="B510" s="1">
        <v>46130</v>
      </c>
      <c r="C510">
        <v>105</v>
      </c>
      <c r="D510" t="s">
        <v>33</v>
      </c>
      <c r="E510" t="s">
        <v>34</v>
      </c>
      <c r="F510">
        <v>206</v>
      </c>
      <c r="G510" t="s">
        <v>15</v>
      </c>
      <c r="H510" s="39" t="s">
        <v>16</v>
      </c>
      <c r="I510">
        <v>2</v>
      </c>
      <c r="J510">
        <v>3395000</v>
      </c>
      <c r="K510">
        <v>2350000</v>
      </c>
      <c r="L510">
        <v>6790000</v>
      </c>
      <c r="M510">
        <v>2090000</v>
      </c>
    </row>
    <row r="511" spans="1:13" x14ac:dyDescent="0.3">
      <c r="A511">
        <v>323</v>
      </c>
      <c r="B511" s="1">
        <v>46131</v>
      </c>
      <c r="C511">
        <v>105</v>
      </c>
      <c r="D511" t="s">
        <v>33</v>
      </c>
      <c r="E511" t="s">
        <v>34</v>
      </c>
      <c r="F511">
        <v>204</v>
      </c>
      <c r="G511" t="s">
        <v>22</v>
      </c>
      <c r="H511" s="39" t="s">
        <v>21</v>
      </c>
      <c r="I511">
        <v>1</v>
      </c>
      <c r="J511">
        <v>533500</v>
      </c>
      <c r="K511">
        <v>330000</v>
      </c>
      <c r="L511">
        <v>533500</v>
      </c>
      <c r="M511">
        <v>203500</v>
      </c>
    </row>
    <row r="512" spans="1:13" x14ac:dyDescent="0.3">
      <c r="A512">
        <v>327</v>
      </c>
      <c r="B512" s="1">
        <v>46133</v>
      </c>
      <c r="C512">
        <v>105</v>
      </c>
      <c r="D512" t="s">
        <v>33</v>
      </c>
      <c r="E512" t="s">
        <v>34</v>
      </c>
      <c r="F512">
        <v>205</v>
      </c>
      <c r="G512" t="s">
        <v>23</v>
      </c>
      <c r="H512" s="39" t="s">
        <v>16</v>
      </c>
      <c r="I512">
        <v>4</v>
      </c>
      <c r="J512">
        <v>2134000</v>
      </c>
      <c r="K512">
        <v>1450000</v>
      </c>
      <c r="L512">
        <v>8536000</v>
      </c>
      <c r="M512">
        <v>2736000</v>
      </c>
    </row>
    <row r="513" spans="1:13" x14ac:dyDescent="0.3">
      <c r="A513">
        <v>329</v>
      </c>
      <c r="B513" s="1">
        <v>46133</v>
      </c>
      <c r="C513">
        <v>105</v>
      </c>
      <c r="D513" t="s">
        <v>33</v>
      </c>
      <c r="E513" t="s">
        <v>34</v>
      </c>
      <c r="F513">
        <v>205</v>
      </c>
      <c r="G513" t="s">
        <v>23</v>
      </c>
      <c r="H513" s="39" t="s">
        <v>16</v>
      </c>
      <c r="I513">
        <v>2</v>
      </c>
      <c r="J513">
        <v>2024000</v>
      </c>
      <c r="K513">
        <v>1450000</v>
      </c>
      <c r="L513">
        <v>4048000</v>
      </c>
      <c r="M513">
        <v>1148000</v>
      </c>
    </row>
    <row r="514" spans="1:13" x14ac:dyDescent="0.3">
      <c r="A514">
        <v>346</v>
      </c>
      <c r="B514" s="1">
        <v>46139</v>
      </c>
      <c r="C514">
        <v>105</v>
      </c>
      <c r="D514" t="s">
        <v>33</v>
      </c>
      <c r="E514" t="s">
        <v>34</v>
      </c>
      <c r="F514">
        <v>205</v>
      </c>
      <c r="G514" t="s">
        <v>23</v>
      </c>
      <c r="H514" s="39" t="s">
        <v>16</v>
      </c>
      <c r="I514">
        <v>3</v>
      </c>
      <c r="J514">
        <v>2024000</v>
      </c>
      <c r="K514">
        <v>1450000</v>
      </c>
      <c r="L514">
        <v>6072000</v>
      </c>
      <c r="M514">
        <v>1722000</v>
      </c>
    </row>
    <row r="515" spans="1:13" x14ac:dyDescent="0.3">
      <c r="A515">
        <v>347</v>
      </c>
      <c r="B515" s="1">
        <v>46139</v>
      </c>
      <c r="C515">
        <v>105</v>
      </c>
      <c r="D515" t="s">
        <v>33</v>
      </c>
      <c r="E515" t="s">
        <v>34</v>
      </c>
      <c r="F515">
        <v>202</v>
      </c>
      <c r="G515" t="s">
        <v>19</v>
      </c>
      <c r="H515" s="39" t="s">
        <v>18</v>
      </c>
      <c r="I515">
        <v>2</v>
      </c>
      <c r="J515">
        <v>2716000</v>
      </c>
      <c r="K515">
        <v>2100000</v>
      </c>
      <c r="L515">
        <v>5432000</v>
      </c>
      <c r="M515">
        <v>1232000</v>
      </c>
    </row>
    <row r="516" spans="1:13" x14ac:dyDescent="0.3">
      <c r="A516">
        <v>357</v>
      </c>
      <c r="B516" s="1">
        <v>46144</v>
      </c>
      <c r="C516">
        <v>105</v>
      </c>
      <c r="D516" t="s">
        <v>33</v>
      </c>
      <c r="E516" t="s">
        <v>34</v>
      </c>
      <c r="F516">
        <v>205</v>
      </c>
      <c r="G516" t="s">
        <v>23</v>
      </c>
      <c r="H516" s="39" t="s">
        <v>16</v>
      </c>
      <c r="I516">
        <v>5</v>
      </c>
      <c r="J516">
        <v>2134000</v>
      </c>
      <c r="K516">
        <v>1450000</v>
      </c>
      <c r="L516">
        <v>10670000</v>
      </c>
      <c r="M516">
        <v>3420000</v>
      </c>
    </row>
    <row r="517" spans="1:13" x14ac:dyDescent="0.3">
      <c r="A517">
        <v>362</v>
      </c>
      <c r="B517" s="1">
        <v>46146</v>
      </c>
      <c r="C517">
        <v>105</v>
      </c>
      <c r="D517" t="s">
        <v>33</v>
      </c>
      <c r="E517" t="s">
        <v>34</v>
      </c>
      <c r="F517">
        <v>206</v>
      </c>
      <c r="G517" t="s">
        <v>15</v>
      </c>
      <c r="H517" s="39" t="s">
        <v>16</v>
      </c>
      <c r="I517">
        <v>5</v>
      </c>
      <c r="J517">
        <v>3500000</v>
      </c>
      <c r="K517">
        <v>2350000</v>
      </c>
      <c r="L517">
        <v>17500000</v>
      </c>
      <c r="M517">
        <v>5750000</v>
      </c>
    </row>
    <row r="518" spans="1:13" x14ac:dyDescent="0.3">
      <c r="A518">
        <v>365</v>
      </c>
      <c r="B518" s="1">
        <v>46146</v>
      </c>
      <c r="C518">
        <v>105</v>
      </c>
      <c r="D518" t="s">
        <v>33</v>
      </c>
      <c r="E518" t="s">
        <v>34</v>
      </c>
      <c r="F518">
        <v>202</v>
      </c>
      <c r="G518" t="s">
        <v>19</v>
      </c>
      <c r="H518" s="39" t="s">
        <v>18</v>
      </c>
      <c r="I518">
        <v>2</v>
      </c>
      <c r="J518">
        <v>2660000</v>
      </c>
      <c r="K518">
        <v>2100000</v>
      </c>
      <c r="L518">
        <v>5320000</v>
      </c>
      <c r="M518">
        <v>1120000</v>
      </c>
    </row>
    <row r="519" spans="1:13" x14ac:dyDescent="0.3">
      <c r="A519">
        <v>382</v>
      </c>
      <c r="B519" s="1">
        <v>46152</v>
      </c>
      <c r="C519">
        <v>105</v>
      </c>
      <c r="D519" t="s">
        <v>33</v>
      </c>
      <c r="E519" t="s">
        <v>34</v>
      </c>
      <c r="F519">
        <v>201</v>
      </c>
      <c r="G519" t="s">
        <v>17</v>
      </c>
      <c r="H519" s="39" t="s">
        <v>18</v>
      </c>
      <c r="I519">
        <v>2</v>
      </c>
      <c r="J519">
        <v>7820000</v>
      </c>
      <c r="K519">
        <v>6800000</v>
      </c>
      <c r="L519">
        <v>15640000</v>
      </c>
      <c r="M519">
        <v>2040000</v>
      </c>
    </row>
    <row r="520" spans="1:13" x14ac:dyDescent="0.3">
      <c r="A520">
        <v>388</v>
      </c>
      <c r="B520" s="1">
        <v>46154</v>
      </c>
      <c r="C520">
        <v>105</v>
      </c>
      <c r="D520" t="s">
        <v>33</v>
      </c>
      <c r="E520" t="s">
        <v>34</v>
      </c>
      <c r="F520">
        <v>206</v>
      </c>
      <c r="G520" t="s">
        <v>15</v>
      </c>
      <c r="H520" s="39" t="s">
        <v>16</v>
      </c>
      <c r="I520">
        <v>1</v>
      </c>
      <c r="J520">
        <v>3500000</v>
      </c>
      <c r="K520">
        <v>2350000</v>
      </c>
      <c r="L520">
        <v>3500000</v>
      </c>
      <c r="M520">
        <v>1150000</v>
      </c>
    </row>
    <row r="521" spans="1:13" x14ac:dyDescent="0.3">
      <c r="A521">
        <v>426</v>
      </c>
      <c r="B521" s="1">
        <v>46168</v>
      </c>
      <c r="C521">
        <v>105</v>
      </c>
      <c r="D521" t="s">
        <v>33</v>
      </c>
      <c r="E521" t="s">
        <v>34</v>
      </c>
      <c r="F521">
        <v>203</v>
      </c>
      <c r="G521" t="s">
        <v>20</v>
      </c>
      <c r="H521" s="39" t="s">
        <v>21</v>
      </c>
      <c r="I521">
        <v>3</v>
      </c>
      <c r="J521">
        <v>902500</v>
      </c>
      <c r="K521">
        <v>620000</v>
      </c>
      <c r="L521">
        <v>2707500</v>
      </c>
      <c r="M521">
        <v>847500</v>
      </c>
    </row>
    <row r="522" spans="1:13" x14ac:dyDescent="0.3">
      <c r="A522">
        <v>429</v>
      </c>
      <c r="B522" s="1">
        <v>46168</v>
      </c>
      <c r="C522">
        <v>105</v>
      </c>
      <c r="D522" t="s">
        <v>33</v>
      </c>
      <c r="E522" t="s">
        <v>34</v>
      </c>
      <c r="F522">
        <v>204</v>
      </c>
      <c r="G522" t="s">
        <v>22</v>
      </c>
      <c r="H522" s="39" t="s">
        <v>21</v>
      </c>
      <c r="I522">
        <v>4</v>
      </c>
      <c r="J522">
        <v>522500</v>
      </c>
      <c r="K522">
        <v>330000</v>
      </c>
      <c r="L522">
        <v>2090000</v>
      </c>
      <c r="M522">
        <v>770000</v>
      </c>
    </row>
    <row r="523" spans="1:13" x14ac:dyDescent="0.3">
      <c r="A523">
        <v>435</v>
      </c>
      <c r="B523" s="1">
        <v>46171</v>
      </c>
      <c r="C523">
        <v>105</v>
      </c>
      <c r="D523" t="s">
        <v>33</v>
      </c>
      <c r="E523" t="s">
        <v>34</v>
      </c>
      <c r="F523">
        <v>202</v>
      </c>
      <c r="G523" t="s">
        <v>19</v>
      </c>
      <c r="H523" s="39" t="s">
        <v>18</v>
      </c>
      <c r="I523">
        <v>4</v>
      </c>
      <c r="J523">
        <v>2716000</v>
      </c>
      <c r="K523">
        <v>2100000</v>
      </c>
      <c r="L523">
        <v>10864000</v>
      </c>
      <c r="M523">
        <v>2464000</v>
      </c>
    </row>
    <row r="524" spans="1:13" x14ac:dyDescent="0.3">
      <c r="A524">
        <v>442</v>
      </c>
      <c r="B524" s="1">
        <v>46174</v>
      </c>
      <c r="C524">
        <v>105</v>
      </c>
      <c r="D524" t="s">
        <v>33</v>
      </c>
      <c r="E524" t="s">
        <v>34</v>
      </c>
      <c r="F524">
        <v>202</v>
      </c>
      <c r="G524" t="s">
        <v>19</v>
      </c>
      <c r="H524" s="39" t="s">
        <v>18</v>
      </c>
      <c r="I524">
        <v>3</v>
      </c>
      <c r="J524">
        <v>2716000</v>
      </c>
      <c r="K524">
        <v>2100000</v>
      </c>
      <c r="L524">
        <v>8148000</v>
      </c>
      <c r="M524">
        <v>1848000</v>
      </c>
    </row>
    <row r="525" spans="1:13" x14ac:dyDescent="0.3">
      <c r="A525">
        <v>443</v>
      </c>
      <c r="B525" s="1">
        <v>46174</v>
      </c>
      <c r="C525">
        <v>105</v>
      </c>
      <c r="D525" t="s">
        <v>33</v>
      </c>
      <c r="E525" t="s">
        <v>34</v>
      </c>
      <c r="F525">
        <v>203</v>
      </c>
      <c r="G525" t="s">
        <v>20</v>
      </c>
      <c r="H525" s="39" t="s">
        <v>21</v>
      </c>
      <c r="I525">
        <v>3</v>
      </c>
      <c r="J525">
        <v>874000</v>
      </c>
      <c r="K525">
        <v>620000</v>
      </c>
      <c r="L525">
        <v>2622000</v>
      </c>
      <c r="M525">
        <v>762000</v>
      </c>
    </row>
    <row r="526" spans="1:13" x14ac:dyDescent="0.3">
      <c r="A526">
        <v>447</v>
      </c>
      <c r="B526" s="1">
        <v>46176</v>
      </c>
      <c r="C526">
        <v>105</v>
      </c>
      <c r="D526" t="s">
        <v>33</v>
      </c>
      <c r="E526" t="s">
        <v>34</v>
      </c>
      <c r="F526">
        <v>206</v>
      </c>
      <c r="G526" t="s">
        <v>15</v>
      </c>
      <c r="H526" s="39" t="s">
        <v>16</v>
      </c>
      <c r="I526">
        <v>2</v>
      </c>
      <c r="J526">
        <v>3500000</v>
      </c>
      <c r="K526">
        <v>2350000</v>
      </c>
      <c r="L526">
        <v>7000000</v>
      </c>
      <c r="M526">
        <v>2300000</v>
      </c>
    </row>
    <row r="527" spans="1:13" x14ac:dyDescent="0.3">
      <c r="A527">
        <v>467</v>
      </c>
      <c r="B527" s="1">
        <v>46182</v>
      </c>
      <c r="C527">
        <v>105</v>
      </c>
      <c r="D527" t="s">
        <v>33</v>
      </c>
      <c r="E527" t="s">
        <v>34</v>
      </c>
      <c r="F527">
        <v>201</v>
      </c>
      <c r="G527" t="s">
        <v>17</v>
      </c>
      <c r="H527" s="39" t="s">
        <v>18</v>
      </c>
      <c r="I527">
        <v>3</v>
      </c>
      <c r="J527">
        <v>8075000</v>
      </c>
      <c r="K527">
        <v>6800000</v>
      </c>
      <c r="L527">
        <v>24225000</v>
      </c>
      <c r="M527">
        <v>3825000</v>
      </c>
    </row>
    <row r="528" spans="1:13" x14ac:dyDescent="0.3">
      <c r="A528">
        <v>468</v>
      </c>
      <c r="B528" s="1">
        <v>46183</v>
      </c>
      <c r="C528">
        <v>105</v>
      </c>
      <c r="D528" t="s">
        <v>33</v>
      </c>
      <c r="E528" t="s">
        <v>34</v>
      </c>
      <c r="F528">
        <v>203</v>
      </c>
      <c r="G528" t="s">
        <v>20</v>
      </c>
      <c r="H528" s="39" t="s">
        <v>21</v>
      </c>
      <c r="I528">
        <v>3</v>
      </c>
      <c r="J528">
        <v>950000</v>
      </c>
      <c r="K528">
        <v>620000</v>
      </c>
      <c r="L528">
        <v>2850000</v>
      </c>
      <c r="M528">
        <v>990000</v>
      </c>
    </row>
    <row r="529" spans="1:13" x14ac:dyDescent="0.3">
      <c r="A529">
        <v>470</v>
      </c>
      <c r="B529" s="1">
        <v>46183</v>
      </c>
      <c r="C529">
        <v>105</v>
      </c>
      <c r="D529" t="s">
        <v>33</v>
      </c>
      <c r="E529" t="s">
        <v>34</v>
      </c>
      <c r="F529">
        <v>201</v>
      </c>
      <c r="G529" t="s">
        <v>17</v>
      </c>
      <c r="H529" s="39" t="s">
        <v>18</v>
      </c>
      <c r="I529">
        <v>5</v>
      </c>
      <c r="J529">
        <v>8245000</v>
      </c>
      <c r="K529">
        <v>6800000</v>
      </c>
      <c r="L529">
        <v>41225000</v>
      </c>
      <c r="M529">
        <v>7225000</v>
      </c>
    </row>
    <row r="530" spans="1:13" x14ac:dyDescent="0.3">
      <c r="A530">
        <v>490</v>
      </c>
      <c r="B530" s="1">
        <v>46190</v>
      </c>
      <c r="C530">
        <v>105</v>
      </c>
      <c r="D530" t="s">
        <v>33</v>
      </c>
      <c r="E530" t="s">
        <v>34</v>
      </c>
      <c r="F530">
        <v>205</v>
      </c>
      <c r="G530" t="s">
        <v>23</v>
      </c>
      <c r="H530" s="39" t="s">
        <v>16</v>
      </c>
      <c r="I530">
        <v>2</v>
      </c>
      <c r="J530">
        <v>2134000</v>
      </c>
      <c r="K530">
        <v>1450000</v>
      </c>
      <c r="L530">
        <v>4268000</v>
      </c>
      <c r="M530">
        <v>1368000</v>
      </c>
    </row>
    <row r="531" spans="1:13" x14ac:dyDescent="0.3">
      <c r="A531">
        <v>492</v>
      </c>
      <c r="B531" s="1">
        <v>46191</v>
      </c>
      <c r="C531">
        <v>105</v>
      </c>
      <c r="D531" t="s">
        <v>33</v>
      </c>
      <c r="E531" t="s">
        <v>34</v>
      </c>
      <c r="F531">
        <v>203</v>
      </c>
      <c r="G531" t="s">
        <v>20</v>
      </c>
      <c r="H531" s="39" t="s">
        <v>21</v>
      </c>
      <c r="I531">
        <v>3</v>
      </c>
      <c r="J531">
        <v>902500</v>
      </c>
      <c r="K531">
        <v>620000</v>
      </c>
      <c r="L531">
        <v>2707500</v>
      </c>
      <c r="M531">
        <v>847500</v>
      </c>
    </row>
    <row r="532" spans="1:13" x14ac:dyDescent="0.3">
      <c r="A532">
        <v>493</v>
      </c>
      <c r="B532" s="1">
        <v>46191</v>
      </c>
      <c r="C532">
        <v>105</v>
      </c>
      <c r="D532" t="s">
        <v>33</v>
      </c>
      <c r="E532" t="s">
        <v>34</v>
      </c>
      <c r="F532">
        <v>201</v>
      </c>
      <c r="G532" t="s">
        <v>17</v>
      </c>
      <c r="H532" s="39" t="s">
        <v>18</v>
      </c>
      <c r="I532">
        <v>3</v>
      </c>
      <c r="J532">
        <v>8245000</v>
      </c>
      <c r="K532">
        <v>6800000</v>
      </c>
      <c r="L532">
        <v>24735000</v>
      </c>
      <c r="M532">
        <v>4335000</v>
      </c>
    </row>
    <row r="533" spans="1:13" x14ac:dyDescent="0.3">
      <c r="A533">
        <v>497</v>
      </c>
      <c r="B533" s="1">
        <v>46192</v>
      </c>
      <c r="C533">
        <v>105</v>
      </c>
      <c r="D533" t="s">
        <v>33</v>
      </c>
      <c r="E533" t="s">
        <v>34</v>
      </c>
      <c r="F533">
        <v>205</v>
      </c>
      <c r="G533" t="s">
        <v>23</v>
      </c>
      <c r="H533" s="39" t="s">
        <v>16</v>
      </c>
      <c r="I533">
        <v>3</v>
      </c>
      <c r="J533">
        <v>2134000</v>
      </c>
      <c r="K533">
        <v>1450000</v>
      </c>
      <c r="L533">
        <v>6402000</v>
      </c>
      <c r="M533">
        <v>2052000</v>
      </c>
    </row>
    <row r="534" spans="1:13" x14ac:dyDescent="0.3">
      <c r="A534">
        <v>516</v>
      </c>
      <c r="B534" s="1">
        <v>46197</v>
      </c>
      <c r="C534">
        <v>105</v>
      </c>
      <c r="D534" t="s">
        <v>33</v>
      </c>
      <c r="E534" t="s">
        <v>34</v>
      </c>
      <c r="F534">
        <v>205</v>
      </c>
      <c r="G534" t="s">
        <v>23</v>
      </c>
      <c r="H534" s="39" t="s">
        <v>16</v>
      </c>
      <c r="I534">
        <v>2</v>
      </c>
      <c r="J534">
        <v>2134000</v>
      </c>
      <c r="K534">
        <v>1450000</v>
      </c>
      <c r="L534">
        <v>4268000</v>
      </c>
      <c r="M534">
        <v>1368000</v>
      </c>
    </row>
    <row r="535" spans="1:13" x14ac:dyDescent="0.3">
      <c r="A535">
        <v>534</v>
      </c>
      <c r="B535" s="1">
        <v>46203</v>
      </c>
      <c r="C535">
        <v>105</v>
      </c>
      <c r="D535" t="s">
        <v>33</v>
      </c>
      <c r="E535" t="s">
        <v>34</v>
      </c>
      <c r="F535">
        <v>201</v>
      </c>
      <c r="G535" t="s">
        <v>17</v>
      </c>
      <c r="H535" s="39" t="s">
        <v>18</v>
      </c>
      <c r="I535">
        <v>2</v>
      </c>
      <c r="J535">
        <v>8500000</v>
      </c>
      <c r="K535">
        <v>6800000</v>
      </c>
      <c r="L535">
        <v>17000000</v>
      </c>
      <c r="M535">
        <v>3400000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184640-F414-4611-8F77-BE094AD4D3EC}">
  <dimension ref="B3:D20"/>
  <sheetViews>
    <sheetView workbookViewId="0">
      <selection activeCell="B3" sqref="B3"/>
    </sheetView>
  </sheetViews>
  <sheetFormatPr baseColWidth="10" defaultRowHeight="14.4" x14ac:dyDescent="0.3"/>
  <sheetData>
    <row r="3" spans="2:4" x14ac:dyDescent="0.3">
      <c r="B3" s="27"/>
      <c r="C3" s="28"/>
      <c r="D3" s="29"/>
    </row>
    <row r="4" spans="2:4" x14ac:dyDescent="0.3">
      <c r="B4" s="30"/>
      <c r="C4" s="31"/>
      <c r="D4" s="32"/>
    </row>
    <row r="5" spans="2:4" x14ac:dyDescent="0.3">
      <c r="B5" s="30"/>
      <c r="C5" s="31"/>
      <c r="D5" s="32"/>
    </row>
    <row r="6" spans="2:4" x14ac:dyDescent="0.3">
      <c r="B6" s="30"/>
      <c r="C6" s="31"/>
      <c r="D6" s="32"/>
    </row>
    <row r="7" spans="2:4" x14ac:dyDescent="0.3">
      <c r="B7" s="30"/>
      <c r="C7" s="31"/>
      <c r="D7" s="32"/>
    </row>
    <row r="8" spans="2:4" x14ac:dyDescent="0.3">
      <c r="B8" s="30"/>
      <c r="C8" s="31"/>
      <c r="D8" s="32"/>
    </row>
    <row r="9" spans="2:4" x14ac:dyDescent="0.3">
      <c r="B9" s="30"/>
      <c r="C9" s="31"/>
      <c r="D9" s="32"/>
    </row>
    <row r="10" spans="2:4" x14ac:dyDescent="0.3">
      <c r="B10" s="30"/>
      <c r="C10" s="31"/>
      <c r="D10" s="32"/>
    </row>
    <row r="11" spans="2:4" x14ac:dyDescent="0.3">
      <c r="B11" s="30"/>
      <c r="C11" s="31"/>
      <c r="D11" s="32"/>
    </row>
    <row r="12" spans="2:4" x14ac:dyDescent="0.3">
      <c r="B12" s="30"/>
      <c r="C12" s="31"/>
      <c r="D12" s="32"/>
    </row>
    <row r="13" spans="2:4" x14ac:dyDescent="0.3">
      <c r="B13" s="30"/>
      <c r="C13" s="31"/>
      <c r="D13" s="32"/>
    </row>
    <row r="14" spans="2:4" x14ac:dyDescent="0.3">
      <c r="B14" s="30"/>
      <c r="C14" s="31"/>
      <c r="D14" s="32"/>
    </row>
    <row r="15" spans="2:4" x14ac:dyDescent="0.3">
      <c r="B15" s="30"/>
      <c r="C15" s="31"/>
      <c r="D15" s="32"/>
    </row>
    <row r="16" spans="2:4" x14ac:dyDescent="0.3">
      <c r="B16" s="30"/>
      <c r="C16" s="31"/>
      <c r="D16" s="32"/>
    </row>
    <row r="17" spans="2:4" x14ac:dyDescent="0.3">
      <c r="B17" s="30"/>
      <c r="C17" s="31"/>
      <c r="D17" s="32"/>
    </row>
    <row r="18" spans="2:4" x14ac:dyDescent="0.3">
      <c r="B18" s="30"/>
      <c r="C18" s="31"/>
      <c r="D18" s="32"/>
    </row>
    <row r="19" spans="2:4" x14ac:dyDescent="0.3">
      <c r="B19" s="30"/>
      <c r="C19" s="31"/>
      <c r="D19" s="32"/>
    </row>
    <row r="20" spans="2:4" x14ac:dyDescent="0.3">
      <c r="B20" s="33"/>
      <c r="C20" s="34"/>
      <c r="D20" s="35"/>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B6046C-5D6B-4F00-AC3F-9539510A4B38}">
  <dimension ref="A1:B15"/>
  <sheetViews>
    <sheetView showGridLines="0" workbookViewId="0">
      <selection activeCell="F23" sqref="F23"/>
    </sheetView>
  </sheetViews>
  <sheetFormatPr baseColWidth="10" defaultRowHeight="14.4" x14ac:dyDescent="0.3"/>
  <sheetData>
    <row r="1" spans="1:2" x14ac:dyDescent="0.3">
      <c r="A1" s="3" t="s">
        <v>11</v>
      </c>
      <c r="B1" s="3"/>
    </row>
    <row r="3" spans="1:2" x14ac:dyDescent="0.3">
      <c r="A3" t="s">
        <v>35</v>
      </c>
      <c r="B3">
        <v>9283698.5018726587</v>
      </c>
    </row>
    <row r="4" spans="1:2" x14ac:dyDescent="0.3">
      <c r="A4" t="s">
        <v>36</v>
      </c>
      <c r="B4">
        <v>406902.89072661212</v>
      </c>
    </row>
    <row r="5" spans="1:2" x14ac:dyDescent="0.3">
      <c r="A5" t="s">
        <v>37</v>
      </c>
      <c r="B5">
        <v>6336000</v>
      </c>
    </row>
    <row r="6" spans="1:2" x14ac:dyDescent="0.3">
      <c r="A6" t="s">
        <v>38</v>
      </c>
      <c r="B6">
        <v>10120000</v>
      </c>
    </row>
    <row r="7" spans="1:2" x14ac:dyDescent="0.3">
      <c r="A7" t="s">
        <v>39</v>
      </c>
      <c r="B7">
        <v>9402891.0429300163</v>
      </c>
    </row>
    <row r="8" spans="1:2" x14ac:dyDescent="0.3">
      <c r="A8" t="s">
        <v>40</v>
      </c>
      <c r="B8">
        <v>88414359965213.531</v>
      </c>
    </row>
    <row r="9" spans="1:2" x14ac:dyDescent="0.3">
      <c r="A9" t="s">
        <v>41</v>
      </c>
      <c r="B9">
        <v>2.8408585512633819</v>
      </c>
    </row>
    <row r="10" spans="1:2" x14ac:dyDescent="0.3">
      <c r="A10" t="s">
        <v>42</v>
      </c>
      <c r="B10">
        <v>1.7845158655031215</v>
      </c>
    </row>
    <row r="11" spans="1:2" x14ac:dyDescent="0.3">
      <c r="A11" t="s">
        <v>43</v>
      </c>
      <c r="B11">
        <v>41994000</v>
      </c>
    </row>
    <row r="12" spans="1:2" x14ac:dyDescent="0.3">
      <c r="A12" t="s">
        <v>44</v>
      </c>
      <c r="B12">
        <v>506000</v>
      </c>
    </row>
    <row r="13" spans="1:2" x14ac:dyDescent="0.3">
      <c r="A13" t="s">
        <v>45</v>
      </c>
      <c r="B13">
        <v>42500000</v>
      </c>
    </row>
    <row r="14" spans="1:2" x14ac:dyDescent="0.3">
      <c r="A14" t="s">
        <v>46</v>
      </c>
      <c r="B14">
        <v>4957495000</v>
      </c>
    </row>
    <row r="15" spans="1:2" ht="15" thickBot="1" x14ac:dyDescent="0.35">
      <c r="A15" s="2" t="s">
        <v>47</v>
      </c>
      <c r="B15" s="2">
        <v>534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E6A16B-2956-4E96-9674-8C9773BB66F0}">
  <dimension ref="B1:G11"/>
  <sheetViews>
    <sheetView showGridLines="0" workbookViewId="0">
      <selection activeCell="G20" sqref="G20"/>
    </sheetView>
  </sheetViews>
  <sheetFormatPr baseColWidth="10" defaultRowHeight="14.4" outlineLevelRow="1" outlineLevelCol="1" x14ac:dyDescent="0.3"/>
  <cols>
    <col min="1" max="2" width="11.5546875" style="14"/>
    <col min="3" max="3" width="5.109375" style="14" bestFit="1" customWidth="1"/>
    <col min="4" max="7" width="14.109375" style="14" bestFit="1" customWidth="1" outlineLevel="1"/>
    <col min="8" max="16384" width="11.5546875" style="14"/>
  </cols>
  <sheetData>
    <row r="1" spans="2:7" ht="15" thickBot="1" x14ac:dyDescent="0.35"/>
    <row r="2" spans="2:7" ht="15.6" x14ac:dyDescent="0.3">
      <c r="B2" s="15" t="s">
        <v>68</v>
      </c>
      <c r="C2" s="15"/>
      <c r="D2" s="16"/>
      <c r="E2" s="16"/>
      <c r="F2" s="16"/>
      <c r="G2" s="16"/>
    </row>
    <row r="3" spans="2:7" ht="15.6" collapsed="1" x14ac:dyDescent="0.3">
      <c r="B3" s="17"/>
      <c r="C3" s="17"/>
      <c r="D3" s="18" t="s">
        <v>69</v>
      </c>
      <c r="E3" s="18" t="s">
        <v>58</v>
      </c>
      <c r="F3" s="18" t="s">
        <v>60</v>
      </c>
      <c r="G3" s="18" t="s">
        <v>59</v>
      </c>
    </row>
    <row r="4" spans="2:7" ht="20.399999999999999" hidden="1" outlineLevel="1" x14ac:dyDescent="0.3">
      <c r="B4" s="19"/>
      <c r="C4" s="19"/>
      <c r="E4" s="20" t="s">
        <v>70</v>
      </c>
      <c r="F4" s="20" t="s">
        <v>70</v>
      </c>
      <c r="G4" s="20" t="s">
        <v>70</v>
      </c>
    </row>
    <row r="5" spans="2:7" collapsed="1" x14ac:dyDescent="0.3">
      <c r="B5" s="21" t="s">
        <v>71</v>
      </c>
      <c r="C5" s="21"/>
      <c r="D5" s="22"/>
      <c r="E5" s="22"/>
      <c r="F5" s="22"/>
      <c r="G5" s="22"/>
    </row>
    <row r="6" spans="2:7" outlineLevel="1" x14ac:dyDescent="0.3">
      <c r="B6" s="19"/>
      <c r="C6" s="19" t="s">
        <v>72</v>
      </c>
      <c r="D6" s="23">
        <v>80</v>
      </c>
      <c r="E6" s="24">
        <v>80</v>
      </c>
      <c r="F6" s="24">
        <v>65</v>
      </c>
      <c r="G6" s="24">
        <v>72</v>
      </c>
    </row>
    <row r="7" spans="2:7" x14ac:dyDescent="0.3">
      <c r="B7" s="21" t="s">
        <v>73</v>
      </c>
      <c r="C7" s="21"/>
      <c r="D7" s="22"/>
      <c r="E7" s="22"/>
      <c r="F7" s="22"/>
      <c r="G7" s="22"/>
    </row>
    <row r="8" spans="2:7" ht="15" outlineLevel="1" thickBot="1" x14ac:dyDescent="0.35">
      <c r="B8" s="25"/>
      <c r="C8" s="25" t="s">
        <v>74</v>
      </c>
      <c r="D8" s="26">
        <v>-39070042500</v>
      </c>
      <c r="E8" s="26">
        <v>-39070042500</v>
      </c>
      <c r="F8" s="26">
        <v>-31651680000</v>
      </c>
      <c r="G8" s="26">
        <v>-35113582500</v>
      </c>
    </row>
    <row r="9" spans="2:7" x14ac:dyDescent="0.3">
      <c r="B9" s="14" t="s">
        <v>75</v>
      </c>
    </row>
    <row r="10" spans="2:7" x14ac:dyDescent="0.3">
      <c r="B10" s="14" t="s">
        <v>76</v>
      </c>
    </row>
    <row r="11" spans="2:7" x14ac:dyDescent="0.3">
      <c r="B11" s="14" t="s">
        <v>77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D42736-1734-4D63-AA4D-C3EFCCAABACA}">
  <dimension ref="A1:B4"/>
  <sheetViews>
    <sheetView showGridLines="0" workbookViewId="0">
      <selection activeCell="B6" sqref="B6"/>
    </sheetView>
  </sheetViews>
  <sheetFormatPr baseColWidth="10" defaultColWidth="8.88671875" defaultRowHeight="14.4" x14ac:dyDescent="0.3"/>
  <cols>
    <col min="1" max="1" width="24" customWidth="1"/>
    <col min="2" max="2" width="115" customWidth="1"/>
  </cols>
  <sheetData>
    <row r="1" spans="1:2" x14ac:dyDescent="0.3">
      <c r="A1" s="11" t="s">
        <v>61</v>
      </c>
      <c r="B1" s="4"/>
    </row>
    <row r="2" spans="1:2" x14ac:dyDescent="0.3">
      <c r="A2" s="12" t="s">
        <v>62</v>
      </c>
      <c r="B2" s="12" t="s">
        <v>63</v>
      </c>
    </row>
    <row r="3" spans="1:2" x14ac:dyDescent="0.3">
      <c r="A3" s="4" t="s">
        <v>64</v>
      </c>
      <c r="B3" s="4" t="s">
        <v>65</v>
      </c>
    </row>
    <row r="4" spans="1:2" ht="28.8" x14ac:dyDescent="0.3">
      <c r="A4" s="4" t="s">
        <v>66</v>
      </c>
      <c r="B4" s="13" t="s">
        <v>67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555416-C53D-4E26-909E-342BA620DE65}">
  <dimension ref="A1:M536"/>
  <sheetViews>
    <sheetView workbookViewId="0">
      <selection sqref="A1:XFD1048576"/>
    </sheetView>
  </sheetViews>
  <sheetFormatPr baseColWidth="10" defaultColWidth="8.88671875" defaultRowHeight="14.4" x14ac:dyDescent="0.3"/>
  <cols>
    <col min="1" max="13" width="13" customWidth="1"/>
  </cols>
  <sheetData>
    <row r="1" spans="1:13" x14ac:dyDescent="0.3">
      <c r="A1" s="6" t="s">
        <v>0</v>
      </c>
      <c r="B1" s="6" t="s">
        <v>1</v>
      </c>
      <c r="C1" s="6" t="s">
        <v>2</v>
      </c>
      <c r="D1" s="6" t="s">
        <v>3</v>
      </c>
      <c r="E1" s="6" t="s">
        <v>4</v>
      </c>
      <c r="F1" s="6" t="s">
        <v>5</v>
      </c>
      <c r="G1" s="6" t="s">
        <v>6</v>
      </c>
      <c r="H1" s="6" t="s">
        <v>7</v>
      </c>
      <c r="I1" s="6" t="s">
        <v>8</v>
      </c>
      <c r="J1" s="6" t="s">
        <v>9</v>
      </c>
      <c r="K1" s="6" t="s">
        <v>10</v>
      </c>
      <c r="L1" s="6" t="s">
        <v>11</v>
      </c>
      <c r="M1" s="6" t="s">
        <v>12</v>
      </c>
    </row>
    <row r="2" spans="1:13" x14ac:dyDescent="0.3">
      <c r="A2" s="5">
        <v>1</v>
      </c>
      <c r="B2" s="10">
        <v>46024</v>
      </c>
      <c r="C2" s="5">
        <v>107</v>
      </c>
      <c r="D2" s="4" t="s">
        <v>24</v>
      </c>
      <c r="E2" s="4" t="s">
        <v>14</v>
      </c>
      <c r="F2" s="5">
        <v>204</v>
      </c>
      <c r="G2" s="4" t="s">
        <v>22</v>
      </c>
      <c r="H2" s="4" t="s">
        <v>21</v>
      </c>
      <c r="I2" s="5">
        <v>3</v>
      </c>
      <c r="J2" s="5">
        <v>53350</v>
      </c>
      <c r="K2" s="5">
        <v>33000</v>
      </c>
      <c r="L2" s="5">
        <v>160050</v>
      </c>
      <c r="M2" s="5">
        <v>61050</v>
      </c>
    </row>
    <row r="3" spans="1:13" x14ac:dyDescent="0.3">
      <c r="A3" s="5">
        <v>2</v>
      </c>
      <c r="B3" s="10">
        <v>46024</v>
      </c>
      <c r="C3" s="5">
        <v>107</v>
      </c>
      <c r="D3" s="4" t="s">
        <v>24</v>
      </c>
      <c r="E3" s="4" t="s">
        <v>14</v>
      </c>
      <c r="F3" s="5">
        <v>201</v>
      </c>
      <c r="G3" s="4" t="s">
        <v>17</v>
      </c>
      <c r="H3" s="4" t="s">
        <v>18</v>
      </c>
      <c r="I3" s="5">
        <v>4</v>
      </c>
      <c r="J3" s="5">
        <v>850000</v>
      </c>
      <c r="K3" s="5">
        <v>680000</v>
      </c>
      <c r="L3" s="5">
        <v>3400000</v>
      </c>
      <c r="M3" s="5">
        <v>680000</v>
      </c>
    </row>
    <row r="4" spans="1:13" x14ac:dyDescent="0.3">
      <c r="A4" s="5">
        <v>3</v>
      </c>
      <c r="B4" s="10">
        <v>46025</v>
      </c>
      <c r="C4" s="5">
        <v>105</v>
      </c>
      <c r="D4" s="4" t="s">
        <v>33</v>
      </c>
      <c r="E4" s="4" t="s">
        <v>34</v>
      </c>
      <c r="F4" s="5">
        <v>206</v>
      </c>
      <c r="G4" s="4" t="s">
        <v>15</v>
      </c>
      <c r="H4" s="4" t="s">
        <v>16</v>
      </c>
      <c r="I4" s="5">
        <v>4</v>
      </c>
      <c r="J4" s="5">
        <v>322000</v>
      </c>
      <c r="K4" s="5">
        <v>235000</v>
      </c>
      <c r="L4" s="5">
        <v>1288000</v>
      </c>
      <c r="M4" s="5">
        <v>348000</v>
      </c>
    </row>
    <row r="5" spans="1:13" x14ac:dyDescent="0.3">
      <c r="A5" s="5">
        <v>4</v>
      </c>
      <c r="B5" s="10">
        <v>46025</v>
      </c>
      <c r="C5" s="5">
        <v>106</v>
      </c>
      <c r="D5" s="4" t="s">
        <v>29</v>
      </c>
      <c r="E5" s="4"/>
      <c r="F5" s="5">
        <v>205</v>
      </c>
      <c r="G5" s="4" t="s">
        <v>23</v>
      </c>
      <c r="H5" s="4" t="s">
        <v>16</v>
      </c>
      <c r="I5" s="5">
        <v>3</v>
      </c>
      <c r="J5" s="5">
        <v>220000</v>
      </c>
      <c r="K5" s="5">
        <v>145000</v>
      </c>
      <c r="L5" s="5">
        <v>660000</v>
      </c>
      <c r="M5" s="5">
        <v>225000</v>
      </c>
    </row>
    <row r="6" spans="1:13" x14ac:dyDescent="0.3">
      <c r="A6" s="5">
        <v>5</v>
      </c>
      <c r="B6" s="10">
        <v>46026</v>
      </c>
      <c r="C6" s="5">
        <v>104</v>
      </c>
      <c r="D6" s="4" t="s">
        <v>25</v>
      </c>
      <c r="E6" s="4" t="s">
        <v>14</v>
      </c>
      <c r="F6" s="5">
        <v>204</v>
      </c>
      <c r="G6" s="4" t="s">
        <v>22</v>
      </c>
      <c r="H6" s="4" t="s">
        <v>21</v>
      </c>
      <c r="I6" s="5">
        <v>2</v>
      </c>
      <c r="J6" s="5">
        <v>55000</v>
      </c>
      <c r="K6" s="5">
        <v>33000</v>
      </c>
      <c r="L6" s="5">
        <v>110000</v>
      </c>
      <c r="M6" s="5">
        <v>44000</v>
      </c>
    </row>
    <row r="7" spans="1:13" x14ac:dyDescent="0.3">
      <c r="A7" s="5">
        <v>6</v>
      </c>
      <c r="B7" s="10">
        <v>46026</v>
      </c>
      <c r="C7" s="5">
        <v>108</v>
      </c>
      <c r="D7" s="4" t="s">
        <v>30</v>
      </c>
      <c r="E7" s="4" t="s">
        <v>31</v>
      </c>
      <c r="F7" s="5">
        <v>205</v>
      </c>
      <c r="G7" s="4" t="s">
        <v>23</v>
      </c>
      <c r="H7" s="4" t="s">
        <v>16</v>
      </c>
      <c r="I7" s="5">
        <v>4</v>
      </c>
      <c r="J7" s="5">
        <v>213400</v>
      </c>
      <c r="K7" s="5">
        <v>145000</v>
      </c>
      <c r="L7" s="5">
        <v>853600</v>
      </c>
      <c r="M7" s="5">
        <v>273600</v>
      </c>
    </row>
    <row r="8" spans="1:13" x14ac:dyDescent="0.3">
      <c r="A8" s="5">
        <v>7</v>
      </c>
      <c r="B8" s="10">
        <v>46026</v>
      </c>
      <c r="C8" s="5">
        <v>107</v>
      </c>
      <c r="D8" s="4" t="s">
        <v>24</v>
      </c>
      <c r="E8" s="4" t="s">
        <v>14</v>
      </c>
      <c r="F8" s="5">
        <v>204</v>
      </c>
      <c r="G8" s="4" t="s">
        <v>22</v>
      </c>
      <c r="H8" s="4" t="s">
        <v>21</v>
      </c>
      <c r="I8" s="5">
        <v>3</v>
      </c>
      <c r="J8" s="5">
        <v>53350</v>
      </c>
      <c r="K8" s="5">
        <v>33000</v>
      </c>
      <c r="L8" s="5">
        <v>160050</v>
      </c>
      <c r="M8" s="5">
        <v>61050</v>
      </c>
    </row>
    <row r="9" spans="1:13" x14ac:dyDescent="0.3">
      <c r="A9" s="5">
        <v>8</v>
      </c>
      <c r="B9" s="10">
        <v>46026</v>
      </c>
      <c r="C9" s="5">
        <v>102</v>
      </c>
      <c r="D9" s="4" t="s">
        <v>27</v>
      </c>
      <c r="E9" s="4" t="s">
        <v>28</v>
      </c>
      <c r="F9" s="5">
        <v>201</v>
      </c>
      <c r="G9" s="4" t="s">
        <v>17</v>
      </c>
      <c r="H9" s="4" t="s">
        <v>18</v>
      </c>
      <c r="I9" s="5">
        <v>3</v>
      </c>
      <c r="J9" s="5">
        <v>782000</v>
      </c>
      <c r="K9" s="5">
        <v>680000</v>
      </c>
      <c r="L9" s="5">
        <v>2346000</v>
      </c>
      <c r="M9" s="5">
        <v>306000</v>
      </c>
    </row>
    <row r="10" spans="1:13" x14ac:dyDescent="0.3">
      <c r="A10" s="5">
        <v>9</v>
      </c>
      <c r="B10" s="10">
        <v>46027</v>
      </c>
      <c r="C10" s="5">
        <v>107</v>
      </c>
      <c r="D10" s="4" t="s">
        <v>24</v>
      </c>
      <c r="E10" s="4" t="s">
        <v>14</v>
      </c>
      <c r="F10" s="5">
        <v>205</v>
      </c>
      <c r="G10" s="4" t="s">
        <v>23</v>
      </c>
      <c r="H10" s="4" t="s">
        <v>16</v>
      </c>
      <c r="I10" s="5">
        <v>2</v>
      </c>
      <c r="J10" s="5">
        <v>209000</v>
      </c>
      <c r="K10" s="5">
        <v>145000</v>
      </c>
      <c r="L10" s="5">
        <v>418000</v>
      </c>
      <c r="M10" s="5">
        <v>128000</v>
      </c>
    </row>
    <row r="11" spans="1:13" x14ac:dyDescent="0.3">
      <c r="A11" s="5">
        <v>10</v>
      </c>
      <c r="B11" s="10">
        <v>46027</v>
      </c>
      <c r="C11" s="5">
        <v>102</v>
      </c>
      <c r="D11" s="4" t="s">
        <v>27</v>
      </c>
      <c r="E11" s="4" t="s">
        <v>28</v>
      </c>
      <c r="F11" s="5">
        <v>205</v>
      </c>
      <c r="G11" s="4" t="s">
        <v>23</v>
      </c>
      <c r="H11" s="4" t="s">
        <v>16</v>
      </c>
      <c r="I11" s="5">
        <v>4</v>
      </c>
      <c r="J11" s="5">
        <v>213400</v>
      </c>
      <c r="K11" s="5">
        <v>145000</v>
      </c>
      <c r="L11" s="5">
        <v>853600</v>
      </c>
      <c r="M11" s="5">
        <v>273600</v>
      </c>
    </row>
    <row r="12" spans="1:13" x14ac:dyDescent="0.3">
      <c r="A12" s="5">
        <v>11</v>
      </c>
      <c r="B12" s="10">
        <v>46028</v>
      </c>
      <c r="C12" s="5">
        <v>108</v>
      </c>
      <c r="D12" s="4" t="s">
        <v>30</v>
      </c>
      <c r="E12" s="4" t="s">
        <v>31</v>
      </c>
      <c r="F12" s="5">
        <v>203</v>
      </c>
      <c r="G12" s="4" t="s">
        <v>20</v>
      </c>
      <c r="H12" s="4" t="s">
        <v>21</v>
      </c>
      <c r="I12" s="5">
        <v>5</v>
      </c>
      <c r="J12" s="5">
        <v>90250</v>
      </c>
      <c r="K12" s="5">
        <v>62000</v>
      </c>
      <c r="L12" s="5">
        <v>451250</v>
      </c>
      <c r="M12" s="5">
        <v>141250</v>
      </c>
    </row>
    <row r="13" spans="1:13" x14ac:dyDescent="0.3">
      <c r="A13" s="5">
        <v>12</v>
      </c>
      <c r="B13" s="10">
        <v>46028</v>
      </c>
      <c r="C13" s="5">
        <v>107</v>
      </c>
      <c r="D13" s="4" t="s">
        <v>24</v>
      </c>
      <c r="E13" s="4" t="s">
        <v>14</v>
      </c>
      <c r="F13" s="5">
        <v>205</v>
      </c>
      <c r="G13" s="4" t="s">
        <v>23</v>
      </c>
      <c r="H13" s="4" t="s">
        <v>16</v>
      </c>
      <c r="I13" s="5">
        <v>1</v>
      </c>
      <c r="J13" s="5">
        <v>213400</v>
      </c>
      <c r="K13" s="5">
        <v>145000</v>
      </c>
      <c r="L13" s="5">
        <v>213400</v>
      </c>
      <c r="M13" s="5">
        <v>68400</v>
      </c>
    </row>
    <row r="14" spans="1:13" x14ac:dyDescent="0.3">
      <c r="A14" s="5">
        <v>13</v>
      </c>
      <c r="B14" s="10">
        <v>46029</v>
      </c>
      <c r="C14" s="5">
        <v>104</v>
      </c>
      <c r="D14" s="4" t="s">
        <v>25</v>
      </c>
      <c r="E14" s="4" t="s">
        <v>14</v>
      </c>
      <c r="F14" s="5">
        <v>201</v>
      </c>
      <c r="G14" s="4" t="s">
        <v>17</v>
      </c>
      <c r="H14" s="4" t="s">
        <v>18</v>
      </c>
      <c r="I14" s="5">
        <v>3</v>
      </c>
      <c r="J14" s="5">
        <v>850000</v>
      </c>
      <c r="K14" s="5">
        <v>680000</v>
      </c>
      <c r="L14" s="5">
        <v>2550000</v>
      </c>
      <c r="M14" s="5">
        <v>510000</v>
      </c>
    </row>
    <row r="15" spans="1:13" x14ac:dyDescent="0.3">
      <c r="A15" s="5">
        <v>14</v>
      </c>
      <c r="B15" s="10">
        <v>46029</v>
      </c>
      <c r="C15" s="5">
        <v>106</v>
      </c>
      <c r="D15" s="4" t="s">
        <v>29</v>
      </c>
      <c r="E15" s="4" t="s">
        <v>28</v>
      </c>
      <c r="F15" s="5">
        <v>205</v>
      </c>
      <c r="G15" s="4" t="s">
        <v>23</v>
      </c>
      <c r="H15" s="4" t="s">
        <v>16</v>
      </c>
      <c r="I15" s="5">
        <v>5</v>
      </c>
      <c r="J15" s="5">
        <v>209000</v>
      </c>
      <c r="K15" s="5">
        <v>145000</v>
      </c>
      <c r="L15" s="5">
        <v>1045000</v>
      </c>
      <c r="M15" s="5">
        <v>320000</v>
      </c>
    </row>
    <row r="16" spans="1:13" x14ac:dyDescent="0.3">
      <c r="A16" s="5">
        <v>15</v>
      </c>
      <c r="B16" s="10">
        <v>46029</v>
      </c>
      <c r="C16" s="5">
        <v>103</v>
      </c>
      <c r="D16" s="4" t="s">
        <v>32</v>
      </c>
      <c r="E16" s="4" t="s">
        <v>31</v>
      </c>
      <c r="F16" s="5">
        <v>206</v>
      </c>
      <c r="G16" s="4" t="s">
        <v>15</v>
      </c>
      <c r="H16" s="4" t="s">
        <v>16</v>
      </c>
      <c r="I16" s="5">
        <v>3</v>
      </c>
      <c r="J16" s="5">
        <v>339500</v>
      </c>
      <c r="K16" s="5">
        <v>235000</v>
      </c>
      <c r="L16" s="5">
        <v>1018500</v>
      </c>
      <c r="M16" s="5">
        <v>313500</v>
      </c>
    </row>
    <row r="17" spans="1:13" x14ac:dyDescent="0.3">
      <c r="A17" s="5">
        <v>16</v>
      </c>
      <c r="B17" s="10">
        <v>46030</v>
      </c>
      <c r="C17" s="5">
        <v>103</v>
      </c>
      <c r="D17" s="4" t="s">
        <v>32</v>
      </c>
      <c r="E17" s="4" t="s">
        <v>31</v>
      </c>
      <c r="F17" s="5">
        <v>201</v>
      </c>
      <c r="G17" s="4" t="s">
        <v>17</v>
      </c>
      <c r="H17" s="4" t="s">
        <v>18</v>
      </c>
      <c r="I17" s="5">
        <v>3</v>
      </c>
      <c r="J17" s="5">
        <v>782000</v>
      </c>
      <c r="K17" s="5">
        <v>680000</v>
      </c>
      <c r="L17" s="5">
        <v>2346000</v>
      </c>
      <c r="M17" s="5">
        <v>306000</v>
      </c>
    </row>
    <row r="18" spans="1:13" x14ac:dyDescent="0.3">
      <c r="A18" s="5">
        <v>17</v>
      </c>
      <c r="B18" s="10">
        <v>46030</v>
      </c>
      <c r="C18" s="5">
        <v>102</v>
      </c>
      <c r="D18" s="4" t="s">
        <v>27</v>
      </c>
      <c r="E18" s="4" t="s">
        <v>28</v>
      </c>
      <c r="F18" s="5">
        <v>203</v>
      </c>
      <c r="G18" s="4" t="s">
        <v>20</v>
      </c>
      <c r="H18" s="4" t="s">
        <v>21</v>
      </c>
      <c r="I18" s="5">
        <v>1</v>
      </c>
      <c r="J18" s="5">
        <v>90250</v>
      </c>
      <c r="K18" s="5">
        <v>62000</v>
      </c>
      <c r="L18" s="5">
        <v>90250</v>
      </c>
      <c r="M18" s="5">
        <v>28250</v>
      </c>
    </row>
    <row r="19" spans="1:13" x14ac:dyDescent="0.3">
      <c r="A19" s="5">
        <v>18</v>
      </c>
      <c r="B19" s="10">
        <v>46030</v>
      </c>
      <c r="C19" s="5">
        <v>104</v>
      </c>
      <c r="D19" s="4" t="s">
        <v>25</v>
      </c>
      <c r="E19" s="4" t="s">
        <v>14</v>
      </c>
      <c r="F19" s="5">
        <v>202</v>
      </c>
      <c r="G19" s="4" t="s">
        <v>19</v>
      </c>
      <c r="H19" s="4"/>
      <c r="I19" s="5">
        <v>2</v>
      </c>
      <c r="J19" s="5">
        <v>266000</v>
      </c>
      <c r="K19" s="5">
        <v>210000</v>
      </c>
      <c r="L19" s="5">
        <v>532000</v>
      </c>
      <c r="M19" s="5">
        <v>112000</v>
      </c>
    </row>
    <row r="20" spans="1:13" x14ac:dyDescent="0.3">
      <c r="A20" s="5">
        <v>19</v>
      </c>
      <c r="B20" s="10">
        <v>46030</v>
      </c>
      <c r="C20" s="5">
        <v>106</v>
      </c>
      <c r="D20" s="4" t="s">
        <v>29</v>
      </c>
      <c r="E20" s="4" t="s">
        <v>28</v>
      </c>
      <c r="F20" s="5">
        <v>206</v>
      </c>
      <c r="G20" s="4" t="s">
        <v>15</v>
      </c>
      <c r="H20" s="4" t="s">
        <v>16</v>
      </c>
      <c r="I20" s="5">
        <v>3</v>
      </c>
      <c r="J20" s="5">
        <v>350000</v>
      </c>
      <c r="K20" s="5">
        <v>235000</v>
      </c>
      <c r="L20" s="5">
        <v>1050000</v>
      </c>
      <c r="M20" s="5">
        <v>345000</v>
      </c>
    </row>
    <row r="21" spans="1:13" x14ac:dyDescent="0.3">
      <c r="A21" s="5">
        <v>20</v>
      </c>
      <c r="B21" s="10">
        <v>46031</v>
      </c>
      <c r="C21" s="5">
        <v>106</v>
      </c>
      <c r="D21" s="4" t="s">
        <v>29</v>
      </c>
      <c r="E21" s="4" t="s">
        <v>28</v>
      </c>
      <c r="F21" s="5">
        <v>205</v>
      </c>
      <c r="G21" s="4" t="s">
        <v>23</v>
      </c>
      <c r="H21" s="4" t="s">
        <v>16</v>
      </c>
      <c r="I21" s="5">
        <v>1</v>
      </c>
      <c r="J21" s="5">
        <v>213400</v>
      </c>
      <c r="K21" s="5">
        <v>145000</v>
      </c>
      <c r="L21" s="5">
        <v>213400</v>
      </c>
      <c r="M21" s="5">
        <v>68400</v>
      </c>
    </row>
    <row r="22" spans="1:13" x14ac:dyDescent="0.3">
      <c r="A22" s="5">
        <v>21</v>
      </c>
      <c r="B22" s="10">
        <v>46031</v>
      </c>
      <c r="C22" s="5">
        <v>107</v>
      </c>
      <c r="D22" s="4" t="s">
        <v>24</v>
      </c>
      <c r="E22" s="4" t="s">
        <v>14</v>
      </c>
      <c r="F22" s="5">
        <v>205</v>
      </c>
      <c r="G22" s="4" t="s">
        <v>23</v>
      </c>
      <c r="H22" s="4" t="s">
        <v>16</v>
      </c>
      <c r="I22" s="5">
        <v>3</v>
      </c>
      <c r="J22" s="5">
        <v>202400</v>
      </c>
      <c r="K22" s="5">
        <v>145000</v>
      </c>
      <c r="L22" s="5">
        <v>607200</v>
      </c>
      <c r="M22" s="5">
        <v>172200</v>
      </c>
    </row>
    <row r="23" spans="1:13" x14ac:dyDescent="0.3">
      <c r="A23" s="5">
        <v>22</v>
      </c>
      <c r="B23" s="10">
        <v>46031</v>
      </c>
      <c r="C23" s="5">
        <v>107</v>
      </c>
      <c r="D23" s="4" t="s">
        <v>24</v>
      </c>
      <c r="E23" s="4" t="s">
        <v>14</v>
      </c>
      <c r="F23" s="5">
        <v>203</v>
      </c>
      <c r="G23" s="4" t="s">
        <v>20</v>
      </c>
      <c r="H23" s="4" t="s">
        <v>21</v>
      </c>
      <c r="I23" s="5">
        <v>5</v>
      </c>
      <c r="J23" s="5">
        <v>92150</v>
      </c>
      <c r="K23" s="5">
        <v>62000</v>
      </c>
      <c r="L23" s="5">
        <v>460750</v>
      </c>
      <c r="M23" s="5">
        <v>150750</v>
      </c>
    </row>
    <row r="24" spans="1:13" x14ac:dyDescent="0.3">
      <c r="A24" s="5">
        <v>23</v>
      </c>
      <c r="B24" s="10">
        <v>46031</v>
      </c>
      <c r="C24" s="5">
        <v>102</v>
      </c>
      <c r="D24" s="4" t="s">
        <v>27</v>
      </c>
      <c r="E24" s="4" t="s">
        <v>28</v>
      </c>
      <c r="F24" s="5">
        <v>205</v>
      </c>
      <c r="G24" s="4" t="s">
        <v>23</v>
      </c>
      <c r="H24" s="4" t="s">
        <v>16</v>
      </c>
      <c r="I24" s="5">
        <v>4</v>
      </c>
      <c r="J24" s="5">
        <v>220000</v>
      </c>
      <c r="K24" s="5">
        <v>145000</v>
      </c>
      <c r="L24" s="5">
        <v>880000</v>
      </c>
      <c r="M24" s="5">
        <v>300000</v>
      </c>
    </row>
    <row r="25" spans="1:13" x14ac:dyDescent="0.3">
      <c r="A25" s="5">
        <v>24</v>
      </c>
      <c r="B25" s="10">
        <v>46032</v>
      </c>
      <c r="C25" s="5">
        <v>102</v>
      </c>
      <c r="D25" s="4" t="s">
        <v>27</v>
      </c>
      <c r="E25" s="4" t="s">
        <v>28</v>
      </c>
      <c r="F25" s="5">
        <v>205</v>
      </c>
      <c r="G25" s="4" t="s">
        <v>23</v>
      </c>
      <c r="H25" s="4" t="s">
        <v>16</v>
      </c>
      <c r="I25" s="5">
        <v>1</v>
      </c>
      <c r="J25" s="5">
        <v>202400</v>
      </c>
      <c r="K25" s="5">
        <v>145000</v>
      </c>
      <c r="L25" s="5">
        <v>202400</v>
      </c>
      <c r="M25" s="5">
        <v>57400</v>
      </c>
    </row>
    <row r="26" spans="1:13" x14ac:dyDescent="0.3">
      <c r="A26" s="5">
        <v>25</v>
      </c>
      <c r="B26" s="10">
        <v>46032</v>
      </c>
      <c r="C26" s="5">
        <v>107</v>
      </c>
      <c r="D26" s="4" t="s">
        <v>24</v>
      </c>
      <c r="E26" s="4" t="s">
        <v>14</v>
      </c>
      <c r="F26" s="5">
        <v>205</v>
      </c>
      <c r="G26" s="4" t="s">
        <v>23</v>
      </c>
      <c r="H26" s="4" t="s">
        <v>16</v>
      </c>
      <c r="I26" s="5">
        <v>4</v>
      </c>
      <c r="J26" s="5">
        <v>213400</v>
      </c>
      <c r="K26" s="5">
        <v>145000</v>
      </c>
      <c r="L26" s="5">
        <v>853600</v>
      </c>
      <c r="M26" s="5">
        <v>273600</v>
      </c>
    </row>
    <row r="27" spans="1:13" x14ac:dyDescent="0.3">
      <c r="A27" s="5">
        <v>26</v>
      </c>
      <c r="B27" s="10">
        <v>46032</v>
      </c>
      <c r="C27" s="5">
        <v>106</v>
      </c>
      <c r="D27" s="4" t="s">
        <v>29</v>
      </c>
      <c r="E27" s="4" t="s">
        <v>28</v>
      </c>
      <c r="F27" s="5">
        <v>202</v>
      </c>
      <c r="G27" s="4" t="s">
        <v>19</v>
      </c>
      <c r="H27" s="4" t="s">
        <v>18</v>
      </c>
      <c r="I27" s="5">
        <v>4</v>
      </c>
      <c r="J27" s="5">
        <v>266000</v>
      </c>
      <c r="K27" s="5">
        <v>210000</v>
      </c>
      <c r="L27" s="5">
        <v>1064000</v>
      </c>
      <c r="M27" s="5">
        <v>224000</v>
      </c>
    </row>
    <row r="28" spans="1:13" x14ac:dyDescent="0.3">
      <c r="A28" s="5">
        <v>27</v>
      </c>
      <c r="B28" s="10">
        <v>46032</v>
      </c>
      <c r="C28" s="5">
        <v>104</v>
      </c>
      <c r="D28" s="4" t="s">
        <v>25</v>
      </c>
      <c r="E28" s="4" t="s">
        <v>14</v>
      </c>
      <c r="F28" s="5">
        <v>204</v>
      </c>
      <c r="G28" s="4" t="s">
        <v>22</v>
      </c>
      <c r="H28" s="4" t="s">
        <v>21</v>
      </c>
      <c r="I28" s="5">
        <v>3</v>
      </c>
      <c r="J28" s="5">
        <v>55000</v>
      </c>
      <c r="K28" s="5">
        <v>33000</v>
      </c>
      <c r="L28" s="5">
        <v>165000</v>
      </c>
      <c r="M28" s="5">
        <v>66000</v>
      </c>
    </row>
    <row r="29" spans="1:13" x14ac:dyDescent="0.3">
      <c r="A29" s="5">
        <v>28</v>
      </c>
      <c r="B29" s="10">
        <v>46033</v>
      </c>
      <c r="C29" s="5">
        <v>102</v>
      </c>
      <c r="D29" s="4" t="s">
        <v>27</v>
      </c>
      <c r="E29" s="4" t="s">
        <v>28</v>
      </c>
      <c r="F29" s="5">
        <v>201</v>
      </c>
      <c r="G29" s="4" t="s">
        <v>17</v>
      </c>
      <c r="H29" s="4" t="s">
        <v>18</v>
      </c>
      <c r="I29" s="5">
        <v>3</v>
      </c>
      <c r="J29" s="5">
        <v>807500</v>
      </c>
      <c r="K29" s="5">
        <v>680000</v>
      </c>
      <c r="L29" s="5">
        <v>2422500</v>
      </c>
      <c r="M29" s="5">
        <v>382500</v>
      </c>
    </row>
    <row r="30" spans="1:13" x14ac:dyDescent="0.3">
      <c r="A30" s="5">
        <v>29</v>
      </c>
      <c r="B30" s="10">
        <v>46033</v>
      </c>
      <c r="C30" s="5">
        <v>106</v>
      </c>
      <c r="D30" s="4" t="s">
        <v>29</v>
      </c>
      <c r="E30" s="4" t="s">
        <v>28</v>
      </c>
      <c r="F30" s="5">
        <v>203</v>
      </c>
      <c r="G30" s="4" t="s">
        <v>20</v>
      </c>
      <c r="H30" s="4" t="s">
        <v>21</v>
      </c>
      <c r="I30" s="5">
        <v>5</v>
      </c>
      <c r="J30" s="5">
        <v>90250</v>
      </c>
      <c r="K30" s="5">
        <v>62000</v>
      </c>
      <c r="L30" s="5">
        <v>451250</v>
      </c>
      <c r="M30" s="5">
        <v>141250</v>
      </c>
    </row>
    <row r="31" spans="1:13" x14ac:dyDescent="0.3">
      <c r="A31" s="5">
        <v>30</v>
      </c>
      <c r="B31" s="10">
        <v>46034</v>
      </c>
      <c r="C31" s="5">
        <v>107</v>
      </c>
      <c r="D31" s="4" t="s">
        <v>24</v>
      </c>
      <c r="E31" s="4" t="s">
        <v>14</v>
      </c>
      <c r="F31" s="5">
        <v>204</v>
      </c>
      <c r="G31" s="4" t="s">
        <v>22</v>
      </c>
      <c r="H31" s="4" t="s">
        <v>21</v>
      </c>
      <c r="I31" s="5">
        <v>4</v>
      </c>
      <c r="J31" s="5">
        <v>52250</v>
      </c>
      <c r="K31" s="5"/>
      <c r="L31" s="5">
        <v>209000</v>
      </c>
      <c r="M31" s="5">
        <v>77000</v>
      </c>
    </row>
    <row r="32" spans="1:13" x14ac:dyDescent="0.3">
      <c r="A32" s="5">
        <v>31</v>
      </c>
      <c r="B32" s="10">
        <v>46034</v>
      </c>
      <c r="C32" s="5">
        <v>105</v>
      </c>
      <c r="D32" s="4" t="s">
        <v>33</v>
      </c>
      <c r="E32" s="4" t="s">
        <v>34</v>
      </c>
      <c r="F32" s="5">
        <v>201</v>
      </c>
      <c r="G32" s="4" t="s">
        <v>17</v>
      </c>
      <c r="H32" s="4" t="s">
        <v>18</v>
      </c>
      <c r="I32" s="5">
        <v>3</v>
      </c>
      <c r="J32" s="5">
        <v>782000</v>
      </c>
      <c r="K32" s="5">
        <v>680000</v>
      </c>
      <c r="L32" s="5">
        <v>2346000</v>
      </c>
      <c r="M32" s="5">
        <v>306000</v>
      </c>
    </row>
    <row r="33" spans="1:13" x14ac:dyDescent="0.3">
      <c r="A33" s="5">
        <v>32</v>
      </c>
      <c r="B33" s="10">
        <v>46035</v>
      </c>
      <c r="C33" s="5">
        <v>105</v>
      </c>
      <c r="D33" s="4" t="s">
        <v>33</v>
      </c>
      <c r="E33" s="4" t="s">
        <v>34</v>
      </c>
      <c r="F33" s="5">
        <v>201</v>
      </c>
      <c r="G33" s="4" t="s">
        <v>17</v>
      </c>
      <c r="H33" s="4" t="s">
        <v>18</v>
      </c>
      <c r="I33" s="5">
        <v>2</v>
      </c>
      <c r="J33" s="5">
        <v>824500</v>
      </c>
      <c r="K33" s="5">
        <v>680000</v>
      </c>
      <c r="L33" s="5">
        <v>1649000</v>
      </c>
      <c r="M33" s="5">
        <v>289000</v>
      </c>
    </row>
    <row r="34" spans="1:13" x14ac:dyDescent="0.3">
      <c r="A34" s="5">
        <v>33</v>
      </c>
      <c r="B34" s="10">
        <v>46035</v>
      </c>
      <c r="C34" s="5">
        <v>108</v>
      </c>
      <c r="D34" s="4" t="s">
        <v>30</v>
      </c>
      <c r="E34" s="4" t="s">
        <v>31</v>
      </c>
      <c r="F34" s="5">
        <v>202</v>
      </c>
      <c r="G34" s="4" t="s">
        <v>19</v>
      </c>
      <c r="H34" s="4" t="s">
        <v>18</v>
      </c>
      <c r="I34" s="5">
        <v>2</v>
      </c>
      <c r="J34" s="5">
        <v>271600</v>
      </c>
      <c r="K34" s="5">
        <v>210000</v>
      </c>
      <c r="L34" s="5">
        <v>543200</v>
      </c>
      <c r="M34" s="5">
        <v>123200</v>
      </c>
    </row>
    <row r="35" spans="1:13" x14ac:dyDescent="0.3">
      <c r="A35" s="5">
        <v>34</v>
      </c>
      <c r="B35" s="10">
        <v>46036</v>
      </c>
      <c r="C35" s="5">
        <v>107</v>
      </c>
      <c r="D35" s="4" t="s">
        <v>24</v>
      </c>
      <c r="E35" s="4" t="s">
        <v>14</v>
      </c>
      <c r="F35" s="5">
        <v>201</v>
      </c>
      <c r="G35" s="4" t="s">
        <v>17</v>
      </c>
      <c r="H35" s="4" t="s">
        <v>18</v>
      </c>
      <c r="I35" s="5">
        <v>2</v>
      </c>
      <c r="J35" s="5">
        <v>782000</v>
      </c>
      <c r="K35" s="5">
        <v>680000</v>
      </c>
      <c r="L35" s="5">
        <v>1564000</v>
      </c>
      <c r="M35" s="5">
        <v>204000</v>
      </c>
    </row>
    <row r="36" spans="1:13" x14ac:dyDescent="0.3">
      <c r="A36" s="5">
        <v>35</v>
      </c>
      <c r="B36" s="10">
        <v>46036</v>
      </c>
      <c r="C36" s="5">
        <v>101</v>
      </c>
      <c r="D36" s="4" t="s">
        <v>13</v>
      </c>
      <c r="E36" s="4" t="s">
        <v>14</v>
      </c>
      <c r="F36" s="5">
        <v>206</v>
      </c>
      <c r="G36" s="4" t="s">
        <v>15</v>
      </c>
      <c r="H36" s="4" t="s">
        <v>16</v>
      </c>
      <c r="I36" s="5">
        <v>2</v>
      </c>
      <c r="J36" s="5">
        <v>322000</v>
      </c>
      <c r="K36" s="5">
        <v>235000</v>
      </c>
      <c r="L36" s="5">
        <v>644000</v>
      </c>
      <c r="M36" s="5">
        <v>174000</v>
      </c>
    </row>
    <row r="37" spans="1:13" x14ac:dyDescent="0.3">
      <c r="A37" s="5">
        <v>36</v>
      </c>
      <c r="B37" s="10">
        <v>46036</v>
      </c>
      <c r="C37" s="5">
        <v>103</v>
      </c>
      <c r="D37" s="4" t="s">
        <v>32</v>
      </c>
      <c r="E37" s="4" t="s">
        <v>31</v>
      </c>
      <c r="F37" s="5">
        <v>203</v>
      </c>
      <c r="G37" s="4" t="s">
        <v>20</v>
      </c>
      <c r="H37" s="4" t="s">
        <v>21</v>
      </c>
      <c r="I37" s="5">
        <v>4</v>
      </c>
      <c r="J37" s="5">
        <v>95000</v>
      </c>
      <c r="K37" s="5">
        <v>62000</v>
      </c>
      <c r="L37" s="5">
        <v>380000</v>
      </c>
      <c r="M37" s="5">
        <v>132000</v>
      </c>
    </row>
    <row r="38" spans="1:13" x14ac:dyDescent="0.3">
      <c r="A38" s="5">
        <v>37</v>
      </c>
      <c r="B38" s="10">
        <v>46036</v>
      </c>
      <c r="C38" s="5">
        <v>105</v>
      </c>
      <c r="D38" s="4" t="s">
        <v>33</v>
      </c>
      <c r="E38" s="4" t="s">
        <v>34</v>
      </c>
      <c r="F38" s="5">
        <v>204</v>
      </c>
      <c r="G38" s="4" t="s">
        <v>22</v>
      </c>
      <c r="H38" s="4" t="s">
        <v>21</v>
      </c>
      <c r="I38" s="5">
        <v>4</v>
      </c>
      <c r="J38" s="5">
        <v>50600</v>
      </c>
      <c r="K38" s="5">
        <v>33000</v>
      </c>
      <c r="L38" s="5">
        <v>202400</v>
      </c>
      <c r="M38" s="5">
        <v>70400</v>
      </c>
    </row>
    <row r="39" spans="1:13" x14ac:dyDescent="0.3">
      <c r="A39" s="5">
        <v>38</v>
      </c>
      <c r="B39" s="10">
        <v>46037</v>
      </c>
      <c r="C39" s="5">
        <v>104</v>
      </c>
      <c r="D39" s="4" t="s">
        <v>25</v>
      </c>
      <c r="E39" s="4" t="s">
        <v>14</v>
      </c>
      <c r="F39" s="5">
        <v>203</v>
      </c>
      <c r="G39" s="4" t="s">
        <v>20</v>
      </c>
      <c r="H39" s="4" t="s">
        <v>21</v>
      </c>
      <c r="I39" s="5">
        <v>3</v>
      </c>
      <c r="J39" s="5">
        <v>87400</v>
      </c>
      <c r="K39" s="5">
        <v>62000</v>
      </c>
      <c r="L39" s="5">
        <v>262200</v>
      </c>
      <c r="M39" s="5">
        <v>76200</v>
      </c>
    </row>
    <row r="40" spans="1:13" x14ac:dyDescent="0.3">
      <c r="A40" s="5">
        <v>39</v>
      </c>
      <c r="B40" s="10">
        <v>46037</v>
      </c>
      <c r="C40" s="5">
        <v>103</v>
      </c>
      <c r="D40" s="4" t="s">
        <v>32</v>
      </c>
      <c r="E40" s="4" t="s">
        <v>31</v>
      </c>
      <c r="F40" s="5">
        <v>202</v>
      </c>
      <c r="G40" s="4" t="s">
        <v>19</v>
      </c>
      <c r="H40" s="4" t="s">
        <v>18</v>
      </c>
      <c r="I40" s="5">
        <v>2</v>
      </c>
      <c r="J40" s="5">
        <v>280000</v>
      </c>
      <c r="K40" s="5">
        <v>210000</v>
      </c>
      <c r="L40" s="5">
        <v>560000</v>
      </c>
      <c r="M40" s="5">
        <v>140000</v>
      </c>
    </row>
    <row r="41" spans="1:13" x14ac:dyDescent="0.3">
      <c r="A41" s="5">
        <v>40</v>
      </c>
      <c r="B41" s="10">
        <v>46037</v>
      </c>
      <c r="C41" s="5">
        <v>101</v>
      </c>
      <c r="D41" s="4" t="s">
        <v>13</v>
      </c>
      <c r="E41" s="4" t="s">
        <v>14</v>
      </c>
      <c r="F41" s="5">
        <v>201</v>
      </c>
      <c r="G41" s="4" t="s">
        <v>17</v>
      </c>
      <c r="H41" s="4" t="s">
        <v>18</v>
      </c>
      <c r="I41" s="5">
        <v>4</v>
      </c>
      <c r="J41" s="5">
        <v>807500</v>
      </c>
      <c r="K41" s="5">
        <v>680000</v>
      </c>
      <c r="L41" s="5">
        <v>3230000</v>
      </c>
      <c r="M41" s="5">
        <v>510000</v>
      </c>
    </row>
    <row r="42" spans="1:13" x14ac:dyDescent="0.3">
      <c r="A42" s="5">
        <v>41</v>
      </c>
      <c r="B42" s="10">
        <v>46038</v>
      </c>
      <c r="C42" s="5">
        <v>104</v>
      </c>
      <c r="D42" s="4" t="s">
        <v>25</v>
      </c>
      <c r="E42" s="4" t="s">
        <v>14</v>
      </c>
      <c r="F42" s="5">
        <v>205</v>
      </c>
      <c r="G42" s="4" t="s">
        <v>23</v>
      </c>
      <c r="H42" s="4" t="s">
        <v>16</v>
      </c>
      <c r="I42" s="5">
        <v>1</v>
      </c>
      <c r="J42" s="5">
        <v>202400</v>
      </c>
      <c r="K42" s="5">
        <v>145000</v>
      </c>
      <c r="L42" s="5">
        <v>202400</v>
      </c>
      <c r="M42" s="5">
        <v>57400</v>
      </c>
    </row>
    <row r="43" spans="1:13" x14ac:dyDescent="0.3">
      <c r="A43" s="5">
        <v>42</v>
      </c>
      <c r="B43" s="10">
        <v>46038</v>
      </c>
      <c r="C43" s="5">
        <v>105</v>
      </c>
      <c r="D43" s="4" t="s">
        <v>33</v>
      </c>
      <c r="E43" s="4" t="s">
        <v>34</v>
      </c>
      <c r="F43" s="5">
        <v>206</v>
      </c>
      <c r="G43" s="4" t="s">
        <v>15</v>
      </c>
      <c r="H43" s="4" t="s">
        <v>16</v>
      </c>
      <c r="I43" s="5">
        <v>1</v>
      </c>
      <c r="J43" s="5">
        <v>339500</v>
      </c>
      <c r="K43" s="5">
        <v>235000</v>
      </c>
      <c r="L43" s="5">
        <v>339500</v>
      </c>
      <c r="M43" s="5">
        <v>104500</v>
      </c>
    </row>
    <row r="44" spans="1:13" x14ac:dyDescent="0.3">
      <c r="A44" s="5">
        <v>43</v>
      </c>
      <c r="B44" s="10">
        <v>46038</v>
      </c>
      <c r="C44" s="5">
        <v>106</v>
      </c>
      <c r="D44" s="4" t="s">
        <v>29</v>
      </c>
      <c r="E44" s="4" t="s">
        <v>28</v>
      </c>
      <c r="F44" s="5">
        <v>203</v>
      </c>
      <c r="G44" s="4" t="s">
        <v>20</v>
      </c>
      <c r="H44" s="4" t="s">
        <v>21</v>
      </c>
      <c r="I44" s="5">
        <v>3</v>
      </c>
      <c r="J44" s="5">
        <v>95000</v>
      </c>
      <c r="K44" s="5">
        <v>62000</v>
      </c>
      <c r="L44" s="5">
        <v>285000</v>
      </c>
      <c r="M44" s="5">
        <v>99000</v>
      </c>
    </row>
    <row r="45" spans="1:13" x14ac:dyDescent="0.3">
      <c r="A45" s="5">
        <v>44</v>
      </c>
      <c r="B45" s="10">
        <v>46038</v>
      </c>
      <c r="C45" s="5">
        <v>104</v>
      </c>
      <c r="D45" s="4" t="s">
        <v>25</v>
      </c>
      <c r="E45" s="4" t="s">
        <v>14</v>
      </c>
      <c r="F45" s="5">
        <v>202</v>
      </c>
      <c r="G45" s="4" t="s">
        <v>19</v>
      </c>
      <c r="H45" s="4" t="s">
        <v>18</v>
      </c>
      <c r="I45" s="5">
        <v>2</v>
      </c>
      <c r="J45" s="5">
        <v>266000</v>
      </c>
      <c r="K45" s="5">
        <v>210000</v>
      </c>
      <c r="L45" s="5">
        <v>532000</v>
      </c>
      <c r="M45" s="5">
        <v>112000</v>
      </c>
    </row>
    <row r="46" spans="1:13" x14ac:dyDescent="0.3">
      <c r="A46" s="5">
        <v>45</v>
      </c>
      <c r="B46" s="10">
        <v>46039</v>
      </c>
      <c r="C46" s="5">
        <v>105</v>
      </c>
      <c r="D46" s="4" t="s">
        <v>33</v>
      </c>
      <c r="E46" s="4" t="s">
        <v>34</v>
      </c>
      <c r="F46" s="5">
        <v>203</v>
      </c>
      <c r="G46" s="4" t="s">
        <v>20</v>
      </c>
      <c r="H46" s="4" t="s">
        <v>21</v>
      </c>
      <c r="I46" s="5">
        <v>5</v>
      </c>
      <c r="J46" s="5">
        <v>95000</v>
      </c>
      <c r="K46" s="5">
        <v>62000</v>
      </c>
      <c r="L46" s="5">
        <v>475000</v>
      </c>
      <c r="M46" s="5">
        <v>165000</v>
      </c>
    </row>
    <row r="47" spans="1:13" x14ac:dyDescent="0.3">
      <c r="A47" s="5">
        <v>46</v>
      </c>
      <c r="B47" s="10">
        <v>46039</v>
      </c>
      <c r="C47" s="5">
        <v>103</v>
      </c>
      <c r="D47" s="4" t="s">
        <v>32</v>
      </c>
      <c r="E47" s="4" t="s">
        <v>31</v>
      </c>
      <c r="F47" s="5">
        <v>201</v>
      </c>
      <c r="G47" s="4" t="s">
        <v>17</v>
      </c>
      <c r="H47" s="4" t="s">
        <v>18</v>
      </c>
      <c r="I47" s="5">
        <v>2</v>
      </c>
      <c r="J47" s="5">
        <v>782000</v>
      </c>
      <c r="K47" s="5">
        <v>680000</v>
      </c>
      <c r="L47" s="5">
        <v>1564000</v>
      </c>
      <c r="M47" s="5">
        <v>204000</v>
      </c>
    </row>
    <row r="48" spans="1:13" x14ac:dyDescent="0.3">
      <c r="A48" s="5">
        <v>47</v>
      </c>
      <c r="B48" s="10">
        <v>46039</v>
      </c>
      <c r="C48" s="5">
        <v>103</v>
      </c>
      <c r="D48" s="4" t="s">
        <v>32</v>
      </c>
      <c r="E48" s="4" t="s">
        <v>31</v>
      </c>
      <c r="F48" s="5">
        <v>206</v>
      </c>
      <c r="G48" s="4" t="s">
        <v>15</v>
      </c>
      <c r="H48" s="4" t="s">
        <v>16</v>
      </c>
      <c r="I48" s="5">
        <v>3</v>
      </c>
      <c r="J48" s="5">
        <v>332500</v>
      </c>
      <c r="K48" s="5">
        <v>235000</v>
      </c>
      <c r="L48" s="5">
        <v>997500</v>
      </c>
      <c r="M48" s="5">
        <v>292500</v>
      </c>
    </row>
    <row r="49" spans="1:13" x14ac:dyDescent="0.3">
      <c r="A49" s="5">
        <v>48</v>
      </c>
      <c r="B49" s="10">
        <v>46040</v>
      </c>
      <c r="C49" s="5">
        <v>103</v>
      </c>
      <c r="D49" s="4" t="s">
        <v>32</v>
      </c>
      <c r="E49" s="4" t="s">
        <v>31</v>
      </c>
      <c r="F49" s="5">
        <v>205</v>
      </c>
      <c r="G49" s="4" t="s">
        <v>23</v>
      </c>
      <c r="H49" s="4" t="s">
        <v>16</v>
      </c>
      <c r="I49" s="5">
        <v>5</v>
      </c>
      <c r="J49" s="5">
        <v>213400</v>
      </c>
      <c r="K49" s="5">
        <v>145000</v>
      </c>
      <c r="L49" s="5">
        <v>1067000</v>
      </c>
      <c r="M49" s="5">
        <v>342000</v>
      </c>
    </row>
    <row r="50" spans="1:13" x14ac:dyDescent="0.3">
      <c r="A50" s="5">
        <v>49</v>
      </c>
      <c r="B50" s="10">
        <v>46040</v>
      </c>
      <c r="C50" s="5">
        <v>107</v>
      </c>
      <c r="D50" s="4" t="s">
        <v>24</v>
      </c>
      <c r="E50" s="4" t="s">
        <v>14</v>
      </c>
      <c r="F50" s="5">
        <v>202</v>
      </c>
      <c r="G50" s="4" t="s">
        <v>19</v>
      </c>
      <c r="H50" s="4" t="s">
        <v>18</v>
      </c>
      <c r="I50" s="5">
        <v>4</v>
      </c>
      <c r="J50" s="5">
        <v>257600</v>
      </c>
      <c r="K50" s="5">
        <v>210000</v>
      </c>
      <c r="L50" s="5">
        <v>1030400</v>
      </c>
      <c r="M50" s="5">
        <v>190400</v>
      </c>
    </row>
    <row r="51" spans="1:13" x14ac:dyDescent="0.3">
      <c r="A51" s="5">
        <v>50</v>
      </c>
      <c r="B51" s="10">
        <v>46040</v>
      </c>
      <c r="C51" s="5">
        <v>104</v>
      </c>
      <c r="D51" s="4" t="s">
        <v>25</v>
      </c>
      <c r="E51" s="4" t="s">
        <v>14</v>
      </c>
      <c r="F51" s="5">
        <v>205</v>
      </c>
      <c r="G51" s="4" t="s">
        <v>23</v>
      </c>
      <c r="H51" s="4" t="s">
        <v>16</v>
      </c>
      <c r="I51" s="5">
        <v>2</v>
      </c>
      <c r="J51" s="5">
        <v>220000</v>
      </c>
      <c r="K51" s="5">
        <v>145000</v>
      </c>
      <c r="L51" s="5">
        <v>440000</v>
      </c>
      <c r="M51" s="5">
        <v>150000</v>
      </c>
    </row>
    <row r="52" spans="1:13" x14ac:dyDescent="0.3">
      <c r="A52" s="5">
        <v>51</v>
      </c>
      <c r="B52" s="10">
        <v>46041</v>
      </c>
      <c r="C52" s="5">
        <v>104</v>
      </c>
      <c r="D52" s="4" t="s">
        <v>25</v>
      </c>
      <c r="E52" s="4" t="s">
        <v>14</v>
      </c>
      <c r="F52" s="5">
        <v>206</v>
      </c>
      <c r="G52" s="4" t="s">
        <v>15</v>
      </c>
      <c r="H52" s="4" t="s">
        <v>16</v>
      </c>
      <c r="I52" s="5">
        <v>1</v>
      </c>
      <c r="J52" s="5">
        <v>339500</v>
      </c>
      <c r="K52" s="5">
        <v>235000</v>
      </c>
      <c r="L52" s="5">
        <v>339500</v>
      </c>
      <c r="M52" s="5">
        <v>104500</v>
      </c>
    </row>
    <row r="53" spans="1:13" x14ac:dyDescent="0.3">
      <c r="A53" s="5">
        <v>52</v>
      </c>
      <c r="B53" s="10">
        <v>46041</v>
      </c>
      <c r="C53" s="5">
        <v>106</v>
      </c>
      <c r="D53" s="4" t="s">
        <v>29</v>
      </c>
      <c r="E53" s="4" t="s">
        <v>28</v>
      </c>
      <c r="F53" s="5">
        <v>202</v>
      </c>
      <c r="G53" s="4" t="s">
        <v>19</v>
      </c>
      <c r="H53" s="4" t="s">
        <v>18</v>
      </c>
      <c r="I53" s="5">
        <v>4</v>
      </c>
      <c r="J53" s="5">
        <v>271600</v>
      </c>
      <c r="K53" s="5">
        <v>210000</v>
      </c>
      <c r="L53" s="5">
        <v>1086400</v>
      </c>
      <c r="M53" s="5">
        <v>246400</v>
      </c>
    </row>
    <row r="54" spans="1:13" x14ac:dyDescent="0.3">
      <c r="A54" s="5">
        <v>53</v>
      </c>
      <c r="B54" s="10">
        <v>46042</v>
      </c>
      <c r="C54" s="5">
        <v>105</v>
      </c>
      <c r="D54" s="4" t="s">
        <v>33</v>
      </c>
      <c r="E54" s="4" t="s">
        <v>34</v>
      </c>
      <c r="F54" s="5">
        <v>204</v>
      </c>
      <c r="G54" s="4" t="s">
        <v>22</v>
      </c>
      <c r="H54" s="4" t="s">
        <v>21</v>
      </c>
      <c r="I54" s="5">
        <v>1</v>
      </c>
      <c r="J54" s="5">
        <v>53350</v>
      </c>
      <c r="K54" s="5">
        <v>33000</v>
      </c>
      <c r="L54" s="5">
        <v>53350</v>
      </c>
      <c r="M54" s="5">
        <v>20350</v>
      </c>
    </row>
    <row r="55" spans="1:13" x14ac:dyDescent="0.3">
      <c r="A55" s="5">
        <v>54</v>
      </c>
      <c r="B55" s="10">
        <v>46042</v>
      </c>
      <c r="C55" s="5">
        <v>107</v>
      </c>
      <c r="D55" s="4" t="s">
        <v>24</v>
      </c>
      <c r="E55" s="4" t="s">
        <v>14</v>
      </c>
      <c r="F55" s="5">
        <v>201</v>
      </c>
      <c r="G55" s="4" t="s">
        <v>17</v>
      </c>
      <c r="H55" s="4" t="s">
        <v>18</v>
      </c>
      <c r="I55" s="5">
        <v>4</v>
      </c>
      <c r="J55" s="5">
        <v>824500</v>
      </c>
      <c r="K55" s="5">
        <v>680000</v>
      </c>
      <c r="L55" s="5">
        <v>3298000</v>
      </c>
      <c r="M55" s="5">
        <v>578000</v>
      </c>
    </row>
    <row r="56" spans="1:13" x14ac:dyDescent="0.3">
      <c r="A56" s="5">
        <v>55</v>
      </c>
      <c r="B56" s="10">
        <v>46042</v>
      </c>
      <c r="C56" s="5">
        <v>106</v>
      </c>
      <c r="D56" s="4" t="s">
        <v>29</v>
      </c>
      <c r="E56" s="4" t="s">
        <v>28</v>
      </c>
      <c r="F56" s="5">
        <v>204</v>
      </c>
      <c r="G56" s="4" t="s">
        <v>22</v>
      </c>
      <c r="H56" s="4" t="s">
        <v>21</v>
      </c>
      <c r="I56" s="5">
        <v>3</v>
      </c>
      <c r="J56" s="5">
        <v>53350</v>
      </c>
      <c r="K56" s="5">
        <v>33000</v>
      </c>
      <c r="L56" s="5">
        <v>160050</v>
      </c>
      <c r="M56" s="5">
        <v>61050</v>
      </c>
    </row>
    <row r="57" spans="1:13" x14ac:dyDescent="0.3">
      <c r="A57" s="5">
        <v>56</v>
      </c>
      <c r="B57" s="10">
        <v>46042</v>
      </c>
      <c r="C57" s="5">
        <v>106</v>
      </c>
      <c r="D57" s="4" t="s">
        <v>29</v>
      </c>
      <c r="E57" s="4" t="s">
        <v>28</v>
      </c>
      <c r="F57" s="5">
        <v>201</v>
      </c>
      <c r="G57" s="4" t="s">
        <v>17</v>
      </c>
      <c r="H57" s="4" t="s">
        <v>18</v>
      </c>
      <c r="I57" s="5">
        <v>3</v>
      </c>
      <c r="J57" s="5">
        <v>850000</v>
      </c>
      <c r="K57" s="5">
        <v>680000</v>
      </c>
      <c r="L57" s="5">
        <v>2550000</v>
      </c>
      <c r="M57" s="5">
        <v>510000</v>
      </c>
    </row>
    <row r="58" spans="1:13" x14ac:dyDescent="0.3">
      <c r="A58" s="5">
        <v>57</v>
      </c>
      <c r="B58" s="10">
        <v>46043</v>
      </c>
      <c r="C58" s="5">
        <v>106</v>
      </c>
      <c r="D58" s="4" t="s">
        <v>29</v>
      </c>
      <c r="E58" s="4" t="s">
        <v>28</v>
      </c>
      <c r="F58" s="5">
        <v>201</v>
      </c>
      <c r="G58" s="4" t="s">
        <v>17</v>
      </c>
      <c r="H58" s="4" t="s">
        <v>18</v>
      </c>
      <c r="I58" s="5">
        <v>4</v>
      </c>
      <c r="J58" s="5">
        <v>824500</v>
      </c>
      <c r="K58" s="5">
        <v>680000</v>
      </c>
      <c r="L58" s="5">
        <v>3298000</v>
      </c>
      <c r="M58" s="5">
        <v>578000</v>
      </c>
    </row>
    <row r="59" spans="1:13" x14ac:dyDescent="0.3">
      <c r="A59" s="5">
        <v>58</v>
      </c>
      <c r="B59" s="10">
        <v>46043</v>
      </c>
      <c r="C59" s="5">
        <v>107</v>
      </c>
      <c r="D59" s="4" t="s">
        <v>24</v>
      </c>
      <c r="E59" s="4" t="s">
        <v>14</v>
      </c>
      <c r="F59" s="5">
        <v>201</v>
      </c>
      <c r="G59" s="4" t="s">
        <v>17</v>
      </c>
      <c r="H59" s="4" t="s">
        <v>18</v>
      </c>
      <c r="I59" s="5">
        <v>1</v>
      </c>
      <c r="J59" s="5">
        <v>824500</v>
      </c>
      <c r="K59" s="5">
        <v>680000</v>
      </c>
      <c r="L59" s="5">
        <v>824500</v>
      </c>
      <c r="M59" s="5">
        <v>144500</v>
      </c>
    </row>
    <row r="60" spans="1:13" x14ac:dyDescent="0.3">
      <c r="A60" s="5">
        <v>59</v>
      </c>
      <c r="B60" s="10">
        <v>46043</v>
      </c>
      <c r="C60" s="5">
        <v>102</v>
      </c>
      <c r="D60" s="4" t="s">
        <v>27</v>
      </c>
      <c r="E60" s="4" t="s">
        <v>28</v>
      </c>
      <c r="F60" s="5">
        <v>202</v>
      </c>
      <c r="G60" s="4" t="s">
        <v>19</v>
      </c>
      <c r="H60" s="4" t="s">
        <v>18</v>
      </c>
      <c r="I60" s="5">
        <v>4</v>
      </c>
      <c r="J60" s="5">
        <v>280000</v>
      </c>
      <c r="K60" s="5">
        <v>210000</v>
      </c>
      <c r="L60" s="5">
        <v>1120000</v>
      </c>
      <c r="M60" s="5">
        <v>280000</v>
      </c>
    </row>
    <row r="61" spans="1:13" x14ac:dyDescent="0.3">
      <c r="A61" s="5">
        <v>60</v>
      </c>
      <c r="B61" s="10">
        <v>46044</v>
      </c>
      <c r="C61" s="5">
        <v>101</v>
      </c>
      <c r="D61" s="4" t="s">
        <v>13</v>
      </c>
      <c r="E61" s="4" t="s">
        <v>14</v>
      </c>
      <c r="F61" s="5">
        <v>202</v>
      </c>
      <c r="G61" s="4" t="s">
        <v>19</v>
      </c>
      <c r="H61" s="4" t="s">
        <v>18</v>
      </c>
      <c r="I61" s="5">
        <v>3</v>
      </c>
      <c r="J61" s="5">
        <v>257600</v>
      </c>
      <c r="K61" s="5">
        <v>210000</v>
      </c>
      <c r="L61" s="5">
        <v>772800</v>
      </c>
      <c r="M61" s="5">
        <v>142800</v>
      </c>
    </row>
    <row r="62" spans="1:13" x14ac:dyDescent="0.3">
      <c r="A62" s="5">
        <v>61</v>
      </c>
      <c r="B62" s="10">
        <v>46044</v>
      </c>
      <c r="C62" s="5">
        <v>102</v>
      </c>
      <c r="D62" s="4" t="s">
        <v>27</v>
      </c>
      <c r="E62" s="4" t="s">
        <v>28</v>
      </c>
      <c r="F62" s="5">
        <v>202</v>
      </c>
      <c r="G62" s="4" t="s">
        <v>19</v>
      </c>
      <c r="H62" s="4" t="s">
        <v>18</v>
      </c>
      <c r="I62" s="5">
        <v>5</v>
      </c>
      <c r="J62" s="5">
        <v>257600</v>
      </c>
      <c r="K62" s="5">
        <v>210000</v>
      </c>
      <c r="L62" s="5">
        <v>1288000</v>
      </c>
      <c r="M62" s="5">
        <v>238000</v>
      </c>
    </row>
    <row r="63" spans="1:13" x14ac:dyDescent="0.3">
      <c r="A63" s="5">
        <v>62</v>
      </c>
      <c r="B63" s="10">
        <v>46044</v>
      </c>
      <c r="C63" s="5">
        <v>105</v>
      </c>
      <c r="D63" s="4" t="s">
        <v>33</v>
      </c>
      <c r="E63" s="4" t="s">
        <v>34</v>
      </c>
      <c r="F63" s="5">
        <v>203</v>
      </c>
      <c r="G63" s="4" t="s">
        <v>20</v>
      </c>
      <c r="H63" s="4" t="s">
        <v>21</v>
      </c>
      <c r="I63" s="5">
        <v>2</v>
      </c>
      <c r="J63" s="5">
        <v>90250</v>
      </c>
      <c r="K63" s="5">
        <v>62000</v>
      </c>
      <c r="L63" s="5">
        <v>180500</v>
      </c>
      <c r="M63" s="5">
        <v>56500</v>
      </c>
    </row>
    <row r="64" spans="1:13" x14ac:dyDescent="0.3">
      <c r="A64" s="5">
        <v>63</v>
      </c>
      <c r="B64" s="10">
        <v>46044</v>
      </c>
      <c r="C64" s="5">
        <v>105</v>
      </c>
      <c r="D64" s="4" t="s">
        <v>33</v>
      </c>
      <c r="E64" s="4" t="s">
        <v>34</v>
      </c>
      <c r="F64" s="5">
        <v>202</v>
      </c>
      <c r="G64" s="4" t="s">
        <v>19</v>
      </c>
      <c r="H64" s="4" t="s">
        <v>18</v>
      </c>
      <c r="I64" s="5">
        <v>1</v>
      </c>
      <c r="J64" s="5">
        <v>280000</v>
      </c>
      <c r="K64" s="5">
        <v>210000</v>
      </c>
      <c r="L64" s="5">
        <v>280000</v>
      </c>
      <c r="M64" s="5">
        <v>70000</v>
      </c>
    </row>
    <row r="65" spans="1:13" x14ac:dyDescent="0.3">
      <c r="A65" s="5">
        <v>64</v>
      </c>
      <c r="B65" s="10">
        <v>46045</v>
      </c>
      <c r="C65" s="5">
        <v>104</v>
      </c>
      <c r="D65" s="4" t="s">
        <v>25</v>
      </c>
      <c r="E65" s="4" t="s">
        <v>14</v>
      </c>
      <c r="F65" s="5">
        <v>203</v>
      </c>
      <c r="G65" s="4" t="s">
        <v>20</v>
      </c>
      <c r="H65" s="4" t="s">
        <v>21</v>
      </c>
      <c r="I65" s="5">
        <v>3</v>
      </c>
      <c r="J65" s="5">
        <v>87400</v>
      </c>
      <c r="K65" s="5">
        <v>62000</v>
      </c>
      <c r="L65" s="5">
        <v>262200</v>
      </c>
      <c r="M65" s="5">
        <v>76200</v>
      </c>
    </row>
    <row r="66" spans="1:13" x14ac:dyDescent="0.3">
      <c r="A66" s="5">
        <v>65</v>
      </c>
      <c r="B66" s="10">
        <v>46045</v>
      </c>
      <c r="C66" s="5">
        <v>101</v>
      </c>
      <c r="D66" s="4" t="s">
        <v>13</v>
      </c>
      <c r="E66" s="4" t="s">
        <v>14</v>
      </c>
      <c r="F66" s="5">
        <v>201</v>
      </c>
      <c r="G66" s="4" t="s">
        <v>17</v>
      </c>
      <c r="H66" s="4" t="s">
        <v>18</v>
      </c>
      <c r="I66" s="5">
        <v>2</v>
      </c>
      <c r="J66" s="5">
        <v>824500</v>
      </c>
      <c r="K66" s="5">
        <v>680000</v>
      </c>
      <c r="L66" s="5">
        <v>1649000</v>
      </c>
      <c r="M66" s="5">
        <v>289000</v>
      </c>
    </row>
    <row r="67" spans="1:13" x14ac:dyDescent="0.3">
      <c r="A67" s="5">
        <v>66</v>
      </c>
      <c r="B67" s="10">
        <v>46045</v>
      </c>
      <c r="C67" s="5">
        <v>106</v>
      </c>
      <c r="D67" s="4" t="s">
        <v>29</v>
      </c>
      <c r="E67" s="4" t="s">
        <v>28</v>
      </c>
      <c r="F67" s="5">
        <v>203</v>
      </c>
      <c r="G67" s="4" t="s">
        <v>20</v>
      </c>
      <c r="H67" s="4" t="s">
        <v>21</v>
      </c>
      <c r="I67" s="5">
        <v>3</v>
      </c>
      <c r="J67" s="5">
        <v>87400</v>
      </c>
      <c r="K67" s="5">
        <v>62000</v>
      </c>
      <c r="L67" s="5">
        <v>262200</v>
      </c>
      <c r="M67" s="5">
        <v>76200</v>
      </c>
    </row>
    <row r="68" spans="1:13" x14ac:dyDescent="0.3">
      <c r="A68" s="5">
        <v>67</v>
      </c>
      <c r="B68" s="10">
        <v>46045</v>
      </c>
      <c r="C68" s="5">
        <v>102</v>
      </c>
      <c r="D68" s="4" t="s">
        <v>27</v>
      </c>
      <c r="E68" s="4" t="s">
        <v>28</v>
      </c>
      <c r="F68" s="5">
        <v>204</v>
      </c>
      <c r="G68" s="4" t="s">
        <v>22</v>
      </c>
      <c r="H68" s="4" t="s">
        <v>21</v>
      </c>
      <c r="I68" s="5">
        <v>3</v>
      </c>
      <c r="J68" s="5">
        <v>53350</v>
      </c>
      <c r="K68" s="5">
        <v>33000</v>
      </c>
      <c r="L68" s="5">
        <v>160050</v>
      </c>
      <c r="M68" s="5">
        <v>61050</v>
      </c>
    </row>
    <row r="69" spans="1:13" x14ac:dyDescent="0.3">
      <c r="A69" s="5">
        <v>68</v>
      </c>
      <c r="B69" s="10">
        <v>46046</v>
      </c>
      <c r="C69" s="5">
        <v>103</v>
      </c>
      <c r="D69" s="4" t="s">
        <v>32</v>
      </c>
      <c r="E69" s="4" t="s">
        <v>31</v>
      </c>
      <c r="F69" s="5">
        <v>206</v>
      </c>
      <c r="G69" s="4" t="s">
        <v>15</v>
      </c>
      <c r="H69" s="4" t="s">
        <v>16</v>
      </c>
      <c r="I69" s="5">
        <v>2</v>
      </c>
      <c r="J69" s="5">
        <v>332500</v>
      </c>
      <c r="K69" s="5">
        <v>235000</v>
      </c>
      <c r="L69" s="5">
        <v>665000</v>
      </c>
      <c r="M69" s="5">
        <v>195000</v>
      </c>
    </row>
    <row r="70" spans="1:13" x14ac:dyDescent="0.3">
      <c r="A70" s="5">
        <v>69</v>
      </c>
      <c r="B70" s="10">
        <v>46046</v>
      </c>
      <c r="C70" s="5">
        <v>105</v>
      </c>
      <c r="D70" s="4" t="s">
        <v>33</v>
      </c>
      <c r="E70" s="4" t="s">
        <v>34</v>
      </c>
      <c r="F70" s="5">
        <v>206</v>
      </c>
      <c r="G70" s="4" t="s">
        <v>15</v>
      </c>
      <c r="H70" s="4" t="s">
        <v>16</v>
      </c>
      <c r="I70" s="5">
        <v>3</v>
      </c>
      <c r="J70" s="5">
        <v>339500</v>
      </c>
      <c r="K70" s="5">
        <v>235000</v>
      </c>
      <c r="L70" s="5">
        <v>1018500</v>
      </c>
      <c r="M70" s="5">
        <v>313500</v>
      </c>
    </row>
    <row r="71" spans="1:13" x14ac:dyDescent="0.3">
      <c r="A71" s="5">
        <v>70</v>
      </c>
      <c r="B71" s="10">
        <v>46046</v>
      </c>
      <c r="C71" s="5">
        <v>101</v>
      </c>
      <c r="D71" s="4" t="s">
        <v>13</v>
      </c>
      <c r="E71" s="4" t="s">
        <v>14</v>
      </c>
      <c r="F71" s="5">
        <v>203</v>
      </c>
      <c r="G71" s="4" t="s">
        <v>20</v>
      </c>
      <c r="H71" s="4" t="s">
        <v>21</v>
      </c>
      <c r="I71" s="5">
        <v>5</v>
      </c>
      <c r="J71" s="5">
        <v>95000</v>
      </c>
      <c r="K71" s="5">
        <v>62000</v>
      </c>
      <c r="L71" s="5">
        <v>475000</v>
      </c>
      <c r="M71" s="5">
        <v>165000</v>
      </c>
    </row>
    <row r="72" spans="1:13" x14ac:dyDescent="0.3">
      <c r="A72" s="5">
        <v>71</v>
      </c>
      <c r="B72" s="10">
        <v>46046</v>
      </c>
      <c r="C72" s="5">
        <v>108</v>
      </c>
      <c r="D72" s="4" t="s">
        <v>30</v>
      </c>
      <c r="E72" s="4" t="s">
        <v>31</v>
      </c>
      <c r="F72" s="5">
        <v>204</v>
      </c>
      <c r="G72" s="4" t="s">
        <v>22</v>
      </c>
      <c r="H72" s="4" t="s">
        <v>21</v>
      </c>
      <c r="I72" s="5">
        <v>1</v>
      </c>
      <c r="J72" s="5">
        <v>53350</v>
      </c>
      <c r="K72" s="5">
        <v>33000</v>
      </c>
      <c r="L72" s="5">
        <v>53350</v>
      </c>
      <c r="M72" s="5">
        <v>20350</v>
      </c>
    </row>
    <row r="73" spans="1:13" x14ac:dyDescent="0.3">
      <c r="A73" s="5">
        <v>72</v>
      </c>
      <c r="B73" s="10">
        <v>46047</v>
      </c>
      <c r="C73" s="5">
        <v>103</v>
      </c>
      <c r="D73" s="4" t="s">
        <v>32</v>
      </c>
      <c r="E73" s="4" t="s">
        <v>31</v>
      </c>
      <c r="F73" s="5">
        <v>201</v>
      </c>
      <c r="G73" s="4" t="s">
        <v>17</v>
      </c>
      <c r="H73" s="4" t="s">
        <v>18</v>
      </c>
      <c r="I73" s="5">
        <v>4</v>
      </c>
      <c r="J73" s="5">
        <v>807500</v>
      </c>
      <c r="K73" s="5">
        <v>680000</v>
      </c>
      <c r="L73" s="5">
        <v>3230000</v>
      </c>
      <c r="M73" s="5">
        <v>510000</v>
      </c>
    </row>
    <row r="74" spans="1:13" x14ac:dyDescent="0.3">
      <c r="A74" s="5">
        <v>73</v>
      </c>
      <c r="B74" s="10">
        <v>46047</v>
      </c>
      <c r="C74" s="5">
        <v>101</v>
      </c>
      <c r="D74" s="4" t="s">
        <v>13</v>
      </c>
      <c r="E74" s="4" t="s">
        <v>14</v>
      </c>
      <c r="F74" s="5">
        <v>202</v>
      </c>
      <c r="G74" s="4" t="s">
        <v>19</v>
      </c>
      <c r="H74" s="4" t="s">
        <v>18</v>
      </c>
      <c r="I74" s="5">
        <v>2</v>
      </c>
      <c r="J74" s="5">
        <v>266000</v>
      </c>
      <c r="K74" s="5">
        <v>210000</v>
      </c>
      <c r="L74" s="5">
        <v>532000</v>
      </c>
      <c r="M74" s="5">
        <v>112000</v>
      </c>
    </row>
    <row r="75" spans="1:13" x14ac:dyDescent="0.3">
      <c r="A75" s="5">
        <v>74</v>
      </c>
      <c r="B75" s="10">
        <v>46047</v>
      </c>
      <c r="C75" s="5">
        <v>106</v>
      </c>
      <c r="D75" s="4" t="s">
        <v>29</v>
      </c>
      <c r="E75" s="4" t="s">
        <v>28</v>
      </c>
      <c r="F75" s="5">
        <v>205</v>
      </c>
      <c r="G75" s="4" t="s">
        <v>23</v>
      </c>
      <c r="H75" s="4" t="s">
        <v>16</v>
      </c>
      <c r="I75" s="5">
        <v>5</v>
      </c>
      <c r="J75" s="5">
        <v>202400</v>
      </c>
      <c r="K75" s="5">
        <v>145000</v>
      </c>
      <c r="L75" s="5">
        <v>1012000</v>
      </c>
      <c r="M75" s="5">
        <v>287000</v>
      </c>
    </row>
    <row r="76" spans="1:13" x14ac:dyDescent="0.3">
      <c r="A76" s="5">
        <v>75</v>
      </c>
      <c r="B76" s="10">
        <v>46048</v>
      </c>
      <c r="C76" s="5">
        <v>101</v>
      </c>
      <c r="D76" s="4" t="s">
        <v>13</v>
      </c>
      <c r="E76" s="4" t="s">
        <v>14</v>
      </c>
      <c r="F76" s="5">
        <v>204</v>
      </c>
      <c r="G76" s="4" t="s">
        <v>22</v>
      </c>
      <c r="H76" s="4" t="s">
        <v>21</v>
      </c>
      <c r="I76" s="5">
        <v>5</v>
      </c>
      <c r="J76" s="5">
        <v>50600</v>
      </c>
      <c r="K76" s="5">
        <v>33000</v>
      </c>
      <c r="L76" s="5">
        <v>253000</v>
      </c>
      <c r="M76" s="5">
        <v>88000</v>
      </c>
    </row>
    <row r="77" spans="1:13" x14ac:dyDescent="0.3">
      <c r="A77" s="5">
        <v>76</v>
      </c>
      <c r="B77" s="10">
        <v>46048</v>
      </c>
      <c r="C77" s="5">
        <v>102</v>
      </c>
      <c r="D77" s="4" t="s">
        <v>27</v>
      </c>
      <c r="E77" s="4" t="s">
        <v>28</v>
      </c>
      <c r="F77" s="5">
        <v>202</v>
      </c>
      <c r="G77" s="4" t="s">
        <v>19</v>
      </c>
      <c r="H77" s="4" t="s">
        <v>18</v>
      </c>
      <c r="I77" s="5">
        <v>1</v>
      </c>
      <c r="J77" s="5">
        <v>280000</v>
      </c>
      <c r="K77" s="5">
        <v>210000</v>
      </c>
      <c r="L77" s="5">
        <v>280000</v>
      </c>
      <c r="M77" s="5">
        <v>70000</v>
      </c>
    </row>
    <row r="78" spans="1:13" x14ac:dyDescent="0.3">
      <c r="A78" s="5">
        <v>77</v>
      </c>
      <c r="B78" s="10">
        <v>46049</v>
      </c>
      <c r="C78" s="5">
        <v>105</v>
      </c>
      <c r="D78" s="4" t="s">
        <v>33</v>
      </c>
      <c r="E78" s="4" t="s">
        <v>34</v>
      </c>
      <c r="F78" s="5">
        <v>203</v>
      </c>
      <c r="G78" s="4" t="s">
        <v>20</v>
      </c>
      <c r="H78" s="4" t="s">
        <v>21</v>
      </c>
      <c r="I78" s="5">
        <v>2</v>
      </c>
      <c r="J78" s="5">
        <v>87400</v>
      </c>
      <c r="K78" s="5">
        <v>62000</v>
      </c>
      <c r="L78" s="5">
        <v>174800</v>
      </c>
      <c r="M78" s="5">
        <v>50800</v>
      </c>
    </row>
    <row r="79" spans="1:13" x14ac:dyDescent="0.3">
      <c r="A79" s="5">
        <v>78</v>
      </c>
      <c r="B79" s="10">
        <v>46049</v>
      </c>
      <c r="C79" s="5">
        <v>104</v>
      </c>
      <c r="D79" s="4" t="s">
        <v>25</v>
      </c>
      <c r="E79" s="4" t="s">
        <v>14</v>
      </c>
      <c r="F79" s="5">
        <v>205</v>
      </c>
      <c r="G79" s="4" t="s">
        <v>23</v>
      </c>
      <c r="H79" s="4" t="s">
        <v>16</v>
      </c>
      <c r="I79" s="5">
        <v>5</v>
      </c>
      <c r="J79" s="5">
        <v>213400</v>
      </c>
      <c r="K79" s="5">
        <v>145000</v>
      </c>
      <c r="L79" s="5">
        <v>1067000</v>
      </c>
      <c r="M79" s="5">
        <v>342000</v>
      </c>
    </row>
    <row r="80" spans="1:13" x14ac:dyDescent="0.3">
      <c r="A80" s="5">
        <v>79</v>
      </c>
      <c r="B80" s="10">
        <v>46049</v>
      </c>
      <c r="C80" s="5">
        <v>102</v>
      </c>
      <c r="D80" s="4" t="s">
        <v>27</v>
      </c>
      <c r="E80" s="4" t="s">
        <v>28</v>
      </c>
      <c r="F80" s="5">
        <v>206</v>
      </c>
      <c r="G80" s="4" t="s">
        <v>15</v>
      </c>
      <c r="H80" s="4" t="s">
        <v>16</v>
      </c>
      <c r="I80" s="5">
        <v>4</v>
      </c>
      <c r="J80" s="5">
        <v>339500</v>
      </c>
      <c r="K80" s="5">
        <v>235000</v>
      </c>
      <c r="L80" s="5">
        <v>1358000</v>
      </c>
      <c r="M80" s="5">
        <v>418000</v>
      </c>
    </row>
    <row r="81" spans="1:13" x14ac:dyDescent="0.3">
      <c r="A81" s="5">
        <v>80</v>
      </c>
      <c r="B81" s="10">
        <v>46050</v>
      </c>
      <c r="C81" s="5">
        <v>105</v>
      </c>
      <c r="D81" s="4" t="s">
        <v>33</v>
      </c>
      <c r="E81" s="4" t="s">
        <v>34</v>
      </c>
      <c r="F81" s="5">
        <v>206</v>
      </c>
      <c r="G81" s="4" t="s">
        <v>15</v>
      </c>
      <c r="H81" s="4" t="s">
        <v>16</v>
      </c>
      <c r="I81" s="5">
        <v>2</v>
      </c>
      <c r="J81" s="5">
        <v>322000</v>
      </c>
      <c r="K81" s="5">
        <v>235000</v>
      </c>
      <c r="L81" s="5">
        <v>644000</v>
      </c>
      <c r="M81" s="5">
        <v>174000</v>
      </c>
    </row>
    <row r="82" spans="1:13" x14ac:dyDescent="0.3">
      <c r="A82" s="5">
        <v>81</v>
      </c>
      <c r="B82" s="10">
        <v>46050</v>
      </c>
      <c r="C82" s="5">
        <v>108</v>
      </c>
      <c r="D82" s="4" t="s">
        <v>30</v>
      </c>
      <c r="E82" s="4" t="s">
        <v>31</v>
      </c>
      <c r="F82" s="5">
        <v>202</v>
      </c>
      <c r="G82" s="4" t="s">
        <v>19</v>
      </c>
      <c r="H82" s="4" t="s">
        <v>18</v>
      </c>
      <c r="I82" s="5">
        <v>1</v>
      </c>
      <c r="J82" s="5">
        <v>266000</v>
      </c>
      <c r="K82" s="5">
        <v>210000</v>
      </c>
      <c r="L82" s="5">
        <v>266000</v>
      </c>
      <c r="M82" s="5">
        <v>56000</v>
      </c>
    </row>
    <row r="83" spans="1:13" x14ac:dyDescent="0.3">
      <c r="A83" s="5">
        <v>82</v>
      </c>
      <c r="B83" s="10">
        <v>46050</v>
      </c>
      <c r="C83" s="5">
        <v>101</v>
      </c>
      <c r="D83" s="4" t="s">
        <v>13</v>
      </c>
      <c r="E83" s="4" t="s">
        <v>14</v>
      </c>
      <c r="F83" s="5">
        <v>202</v>
      </c>
      <c r="G83" s="4" t="s">
        <v>19</v>
      </c>
      <c r="H83" s="4" t="s">
        <v>18</v>
      </c>
      <c r="I83" s="5">
        <v>3</v>
      </c>
      <c r="J83" s="5">
        <v>257600</v>
      </c>
      <c r="K83" s="5">
        <v>210000</v>
      </c>
      <c r="L83" s="5">
        <v>772800</v>
      </c>
      <c r="M83" s="5">
        <v>142800</v>
      </c>
    </row>
    <row r="84" spans="1:13" x14ac:dyDescent="0.3">
      <c r="A84" s="5">
        <v>83</v>
      </c>
      <c r="B84" s="10">
        <v>46051</v>
      </c>
      <c r="C84" s="5">
        <v>102</v>
      </c>
      <c r="D84" s="4" t="s">
        <v>27</v>
      </c>
      <c r="E84" s="4" t="s">
        <v>28</v>
      </c>
      <c r="F84" s="5">
        <v>206</v>
      </c>
      <c r="G84" s="4" t="s">
        <v>15</v>
      </c>
      <c r="H84" s="4" t="s">
        <v>16</v>
      </c>
      <c r="I84" s="5">
        <v>1</v>
      </c>
      <c r="J84" s="5">
        <v>332500</v>
      </c>
      <c r="K84" s="5">
        <v>235000</v>
      </c>
      <c r="L84" s="5">
        <v>332500</v>
      </c>
      <c r="M84" s="5">
        <v>97500</v>
      </c>
    </row>
    <row r="85" spans="1:13" x14ac:dyDescent="0.3">
      <c r="A85" s="5">
        <v>84</v>
      </c>
      <c r="B85" s="10">
        <v>46051</v>
      </c>
      <c r="C85" s="5">
        <v>107</v>
      </c>
      <c r="D85" s="4" t="s">
        <v>24</v>
      </c>
      <c r="E85" s="4" t="s">
        <v>14</v>
      </c>
      <c r="F85" s="5">
        <v>206</v>
      </c>
      <c r="G85" s="4" t="s">
        <v>15</v>
      </c>
      <c r="H85" s="4" t="s">
        <v>16</v>
      </c>
      <c r="I85" s="5">
        <v>2</v>
      </c>
      <c r="J85" s="5">
        <v>322000</v>
      </c>
      <c r="K85" s="5">
        <v>235000</v>
      </c>
      <c r="L85" s="5">
        <v>644000</v>
      </c>
      <c r="M85" s="5">
        <v>174000</v>
      </c>
    </row>
    <row r="86" spans="1:13" x14ac:dyDescent="0.3">
      <c r="A86" s="5">
        <v>85</v>
      </c>
      <c r="B86" s="10">
        <v>46051</v>
      </c>
      <c r="C86" s="5">
        <v>101</v>
      </c>
      <c r="D86" s="4" t="s">
        <v>13</v>
      </c>
      <c r="E86" s="4" t="s">
        <v>14</v>
      </c>
      <c r="F86" s="5">
        <v>204</v>
      </c>
      <c r="G86" s="4" t="s">
        <v>22</v>
      </c>
      <c r="H86" s="4" t="s">
        <v>21</v>
      </c>
      <c r="I86" s="5">
        <v>3</v>
      </c>
      <c r="J86" s="5">
        <v>53350</v>
      </c>
      <c r="K86" s="5">
        <v>33000</v>
      </c>
      <c r="L86" s="5">
        <v>160050</v>
      </c>
      <c r="M86" s="5">
        <v>61050</v>
      </c>
    </row>
    <row r="87" spans="1:13" x14ac:dyDescent="0.3">
      <c r="A87" s="5">
        <v>86</v>
      </c>
      <c r="B87" s="10">
        <v>46051</v>
      </c>
      <c r="C87" s="5">
        <v>101</v>
      </c>
      <c r="D87" s="4" t="s">
        <v>13</v>
      </c>
      <c r="E87" s="4" t="s">
        <v>14</v>
      </c>
      <c r="F87" s="5">
        <v>205</v>
      </c>
      <c r="G87" s="4" t="s">
        <v>23</v>
      </c>
      <c r="H87" s="4" t="s">
        <v>16</v>
      </c>
      <c r="I87" s="5">
        <v>2</v>
      </c>
      <c r="J87" s="5">
        <v>209000</v>
      </c>
      <c r="K87" s="5">
        <v>145000</v>
      </c>
      <c r="L87" s="5">
        <v>418000</v>
      </c>
      <c r="M87" s="5">
        <v>128000</v>
      </c>
    </row>
    <row r="88" spans="1:13" x14ac:dyDescent="0.3">
      <c r="A88" s="5">
        <v>87</v>
      </c>
      <c r="B88" s="10">
        <v>46052</v>
      </c>
      <c r="C88" s="5">
        <v>103</v>
      </c>
      <c r="D88" s="4" t="s">
        <v>32</v>
      </c>
      <c r="E88" s="4" t="s">
        <v>31</v>
      </c>
      <c r="F88" s="5">
        <v>206</v>
      </c>
      <c r="G88" s="4" t="s">
        <v>15</v>
      </c>
      <c r="H88" s="4" t="s">
        <v>16</v>
      </c>
      <c r="I88" s="5">
        <v>1</v>
      </c>
      <c r="J88" s="5">
        <v>332500</v>
      </c>
      <c r="K88" s="5">
        <v>235000</v>
      </c>
      <c r="L88" s="5">
        <v>332500</v>
      </c>
      <c r="M88" s="5">
        <v>97500</v>
      </c>
    </row>
    <row r="89" spans="1:13" x14ac:dyDescent="0.3">
      <c r="A89" s="5">
        <v>88</v>
      </c>
      <c r="B89" s="10">
        <v>46052</v>
      </c>
      <c r="C89" s="5">
        <v>106</v>
      </c>
      <c r="D89" s="4" t="s">
        <v>29</v>
      </c>
      <c r="E89" s="4" t="s">
        <v>28</v>
      </c>
      <c r="F89" s="5">
        <v>203</v>
      </c>
      <c r="G89" s="4" t="s">
        <v>20</v>
      </c>
      <c r="H89" s="4" t="s">
        <v>21</v>
      </c>
      <c r="I89" s="5">
        <v>2</v>
      </c>
      <c r="J89" s="5">
        <v>95000</v>
      </c>
      <c r="K89" s="5">
        <v>62000</v>
      </c>
      <c r="L89" s="5">
        <v>190000</v>
      </c>
      <c r="M89" s="5">
        <v>66000</v>
      </c>
    </row>
    <row r="90" spans="1:13" x14ac:dyDescent="0.3">
      <c r="A90" s="5">
        <v>89</v>
      </c>
      <c r="B90" s="10">
        <v>46052</v>
      </c>
      <c r="C90" s="5">
        <v>108</v>
      </c>
      <c r="D90" s="4" t="s">
        <v>30</v>
      </c>
      <c r="E90" s="4" t="s">
        <v>31</v>
      </c>
      <c r="F90" s="5">
        <v>206</v>
      </c>
      <c r="G90" s="4" t="s">
        <v>15</v>
      </c>
      <c r="H90" s="4" t="s">
        <v>16</v>
      </c>
      <c r="I90" s="5">
        <v>2</v>
      </c>
      <c r="J90" s="5">
        <v>350000</v>
      </c>
      <c r="K90" s="5">
        <v>235000</v>
      </c>
      <c r="L90" s="5">
        <v>700000</v>
      </c>
      <c r="M90" s="5">
        <v>230000</v>
      </c>
    </row>
    <row r="91" spans="1:13" x14ac:dyDescent="0.3">
      <c r="A91" s="5">
        <v>90</v>
      </c>
      <c r="B91" s="10">
        <v>46053</v>
      </c>
      <c r="C91" s="5">
        <v>101</v>
      </c>
      <c r="D91" s="4" t="s">
        <v>13</v>
      </c>
      <c r="E91" s="4" t="s">
        <v>14</v>
      </c>
      <c r="F91" s="5">
        <v>205</v>
      </c>
      <c r="G91" s="4" t="s">
        <v>23</v>
      </c>
      <c r="H91" s="4" t="s">
        <v>16</v>
      </c>
      <c r="I91" s="5">
        <v>5</v>
      </c>
      <c r="J91" s="5">
        <v>220000</v>
      </c>
      <c r="K91" s="5">
        <v>145000</v>
      </c>
      <c r="L91" s="5">
        <v>1100000</v>
      </c>
      <c r="M91" s="5">
        <v>375000</v>
      </c>
    </row>
    <row r="92" spans="1:13" x14ac:dyDescent="0.3">
      <c r="A92" s="5">
        <v>91</v>
      </c>
      <c r="B92" s="10">
        <v>46053</v>
      </c>
      <c r="C92" s="5">
        <v>106</v>
      </c>
      <c r="D92" s="4" t="s">
        <v>29</v>
      </c>
      <c r="E92" s="4" t="s">
        <v>28</v>
      </c>
      <c r="F92" s="5">
        <v>202</v>
      </c>
      <c r="G92" s="4" t="s">
        <v>19</v>
      </c>
      <c r="H92" s="4" t="s">
        <v>18</v>
      </c>
      <c r="I92" s="5">
        <v>2</v>
      </c>
      <c r="J92" s="5">
        <v>266000</v>
      </c>
      <c r="K92" s="5">
        <v>210000</v>
      </c>
      <c r="L92" s="5">
        <v>532000</v>
      </c>
      <c r="M92" s="5">
        <v>112000</v>
      </c>
    </row>
    <row r="93" spans="1:13" x14ac:dyDescent="0.3">
      <c r="A93" s="5">
        <v>92</v>
      </c>
      <c r="B93" s="10">
        <v>46054</v>
      </c>
      <c r="C93" s="5">
        <v>107</v>
      </c>
      <c r="D93" s="4" t="s">
        <v>24</v>
      </c>
      <c r="E93" s="4" t="s">
        <v>14</v>
      </c>
      <c r="F93" s="5">
        <v>201</v>
      </c>
      <c r="G93" s="4" t="s">
        <v>17</v>
      </c>
      <c r="H93" s="4" t="s">
        <v>18</v>
      </c>
      <c r="I93" s="5">
        <v>1</v>
      </c>
      <c r="J93" s="5">
        <v>824500</v>
      </c>
      <c r="K93" s="5">
        <v>680000</v>
      </c>
      <c r="L93" s="5">
        <v>824500</v>
      </c>
      <c r="M93" s="5">
        <v>144500</v>
      </c>
    </row>
    <row r="94" spans="1:13" x14ac:dyDescent="0.3">
      <c r="A94" s="5">
        <v>93</v>
      </c>
      <c r="B94" s="10">
        <v>46054</v>
      </c>
      <c r="C94" s="5">
        <v>103</v>
      </c>
      <c r="D94" s="4" t="s">
        <v>32</v>
      </c>
      <c r="E94" s="4" t="s">
        <v>31</v>
      </c>
      <c r="F94" s="5">
        <v>206</v>
      </c>
      <c r="G94" s="4" t="s">
        <v>15</v>
      </c>
      <c r="H94" s="4" t="s">
        <v>16</v>
      </c>
      <c r="I94" s="5">
        <v>4</v>
      </c>
      <c r="J94" s="5">
        <v>339500</v>
      </c>
      <c r="K94" s="5">
        <v>235000</v>
      </c>
      <c r="L94" s="5">
        <v>1358000</v>
      </c>
      <c r="M94" s="5">
        <v>418000</v>
      </c>
    </row>
    <row r="95" spans="1:13" x14ac:dyDescent="0.3">
      <c r="A95" s="5">
        <v>94</v>
      </c>
      <c r="B95" s="10">
        <v>46054</v>
      </c>
      <c r="C95" s="5">
        <v>108</v>
      </c>
      <c r="D95" s="4" t="s">
        <v>30</v>
      </c>
      <c r="E95" s="4" t="s">
        <v>31</v>
      </c>
      <c r="F95" s="5">
        <v>203</v>
      </c>
      <c r="G95" s="4" t="s">
        <v>20</v>
      </c>
      <c r="H95" s="4" t="s">
        <v>21</v>
      </c>
      <c r="I95" s="5">
        <v>3</v>
      </c>
      <c r="J95" s="5">
        <v>92150</v>
      </c>
      <c r="K95" s="5">
        <v>62000</v>
      </c>
      <c r="L95" s="5">
        <v>276450</v>
      </c>
      <c r="M95" s="5">
        <v>90450</v>
      </c>
    </row>
    <row r="96" spans="1:13" x14ac:dyDescent="0.3">
      <c r="A96" s="5">
        <v>95</v>
      </c>
      <c r="B96" s="10">
        <v>46054</v>
      </c>
      <c r="C96" s="5">
        <v>102</v>
      </c>
      <c r="D96" s="4" t="s">
        <v>27</v>
      </c>
      <c r="E96" s="4" t="s">
        <v>28</v>
      </c>
      <c r="F96" s="5">
        <v>206</v>
      </c>
      <c r="G96" s="4" t="s">
        <v>15</v>
      </c>
      <c r="H96" s="4" t="s">
        <v>16</v>
      </c>
      <c r="I96" s="5">
        <v>1</v>
      </c>
      <c r="J96" s="5">
        <v>350000</v>
      </c>
      <c r="K96" s="5">
        <v>235000</v>
      </c>
      <c r="L96" s="5">
        <v>350000</v>
      </c>
      <c r="M96" s="5">
        <v>115000</v>
      </c>
    </row>
    <row r="97" spans="1:13" x14ac:dyDescent="0.3">
      <c r="A97" s="5">
        <v>96</v>
      </c>
      <c r="B97" s="10">
        <v>46055</v>
      </c>
      <c r="C97" s="5">
        <v>103</v>
      </c>
      <c r="D97" s="4" t="s">
        <v>32</v>
      </c>
      <c r="E97" s="4" t="s">
        <v>31</v>
      </c>
      <c r="F97" s="5">
        <v>201</v>
      </c>
      <c r="G97" s="4" t="s">
        <v>17</v>
      </c>
      <c r="H97" s="4" t="s">
        <v>18</v>
      </c>
      <c r="I97" s="5">
        <v>1</v>
      </c>
      <c r="J97" s="5">
        <v>807500</v>
      </c>
      <c r="K97" s="5">
        <v>680000</v>
      </c>
      <c r="L97" s="5">
        <v>807500</v>
      </c>
      <c r="M97" s="5">
        <v>127500</v>
      </c>
    </row>
    <row r="98" spans="1:13" x14ac:dyDescent="0.3">
      <c r="A98" s="5">
        <v>97</v>
      </c>
      <c r="B98" s="10">
        <v>46055</v>
      </c>
      <c r="C98" s="5">
        <v>108</v>
      </c>
      <c r="D98" s="4" t="s">
        <v>30</v>
      </c>
      <c r="E98" s="4" t="s">
        <v>31</v>
      </c>
      <c r="F98" s="5">
        <v>201</v>
      </c>
      <c r="G98" s="4" t="s">
        <v>17</v>
      </c>
      <c r="H98" s="4" t="s">
        <v>18</v>
      </c>
      <c r="I98" s="5">
        <v>2</v>
      </c>
      <c r="J98" s="5">
        <v>807500</v>
      </c>
      <c r="K98" s="5">
        <v>680000</v>
      </c>
      <c r="L98" s="5">
        <v>1615000</v>
      </c>
      <c r="M98" s="5">
        <v>255000</v>
      </c>
    </row>
    <row r="99" spans="1:13" x14ac:dyDescent="0.3">
      <c r="A99" s="5">
        <v>98</v>
      </c>
      <c r="B99" s="10">
        <v>46056</v>
      </c>
      <c r="C99" s="5">
        <v>106</v>
      </c>
      <c r="D99" s="4" t="s">
        <v>29</v>
      </c>
      <c r="E99" s="4" t="s">
        <v>28</v>
      </c>
      <c r="F99" s="5">
        <v>205</v>
      </c>
      <c r="G99" s="4" t="s">
        <v>23</v>
      </c>
      <c r="H99" s="4" t="s">
        <v>16</v>
      </c>
      <c r="I99" s="5">
        <v>3</v>
      </c>
      <c r="J99" s="5">
        <v>213400</v>
      </c>
      <c r="K99" s="5">
        <v>145000</v>
      </c>
      <c r="L99" s="5">
        <v>640200</v>
      </c>
      <c r="M99" s="5">
        <v>205200</v>
      </c>
    </row>
    <row r="100" spans="1:13" x14ac:dyDescent="0.3">
      <c r="A100" s="5">
        <v>99</v>
      </c>
      <c r="B100" s="10">
        <v>46056</v>
      </c>
      <c r="C100" s="5">
        <v>102</v>
      </c>
      <c r="D100" s="4" t="s">
        <v>27</v>
      </c>
      <c r="E100" s="4" t="s">
        <v>28</v>
      </c>
      <c r="F100" s="5">
        <v>206</v>
      </c>
      <c r="G100" s="4" t="s">
        <v>15</v>
      </c>
      <c r="H100" s="4" t="s">
        <v>16</v>
      </c>
      <c r="I100" s="5">
        <v>5</v>
      </c>
      <c r="J100" s="5">
        <v>350000</v>
      </c>
      <c r="K100" s="5">
        <v>235000</v>
      </c>
      <c r="L100" s="5">
        <v>1750000</v>
      </c>
      <c r="M100" s="5">
        <v>575000</v>
      </c>
    </row>
    <row r="101" spans="1:13" x14ac:dyDescent="0.3">
      <c r="A101" s="5">
        <v>100</v>
      </c>
      <c r="B101" s="10">
        <v>46056</v>
      </c>
      <c r="C101" s="5">
        <v>106</v>
      </c>
      <c r="D101" s="4" t="s">
        <v>29</v>
      </c>
      <c r="E101" s="4" t="s">
        <v>28</v>
      </c>
      <c r="F101" s="5">
        <v>201</v>
      </c>
      <c r="G101" s="4" t="s">
        <v>17</v>
      </c>
      <c r="H101" s="4" t="s">
        <v>18</v>
      </c>
      <c r="I101" s="5">
        <v>4</v>
      </c>
      <c r="J101" s="5">
        <v>782000</v>
      </c>
      <c r="K101" s="5">
        <v>680000</v>
      </c>
      <c r="L101" s="5">
        <v>3128000</v>
      </c>
      <c r="M101" s="5">
        <v>408000</v>
      </c>
    </row>
    <row r="102" spans="1:13" x14ac:dyDescent="0.3">
      <c r="A102" s="5">
        <v>101</v>
      </c>
      <c r="B102" s="10">
        <v>46056</v>
      </c>
      <c r="C102" s="5">
        <v>102</v>
      </c>
      <c r="D102" s="4" t="s">
        <v>27</v>
      </c>
      <c r="E102" s="4" t="s">
        <v>28</v>
      </c>
      <c r="F102" s="5">
        <v>203</v>
      </c>
      <c r="G102" s="4" t="s">
        <v>20</v>
      </c>
      <c r="H102" s="4" t="s">
        <v>21</v>
      </c>
      <c r="I102" s="5">
        <v>1</v>
      </c>
      <c r="J102" s="5">
        <v>90250</v>
      </c>
      <c r="K102" s="5">
        <v>62000</v>
      </c>
      <c r="L102" s="5">
        <v>90250</v>
      </c>
      <c r="M102" s="5">
        <v>28250</v>
      </c>
    </row>
    <row r="103" spans="1:13" x14ac:dyDescent="0.3">
      <c r="A103" s="5">
        <v>102</v>
      </c>
      <c r="B103" s="10">
        <v>46057</v>
      </c>
      <c r="C103" s="5">
        <v>101</v>
      </c>
      <c r="D103" s="4" t="s">
        <v>13</v>
      </c>
      <c r="E103" s="4" t="s">
        <v>14</v>
      </c>
      <c r="F103" s="5">
        <v>203</v>
      </c>
      <c r="G103" s="4" t="s">
        <v>20</v>
      </c>
      <c r="H103" s="4" t="s">
        <v>21</v>
      </c>
      <c r="I103" s="5">
        <v>5</v>
      </c>
      <c r="J103" s="5">
        <v>92150</v>
      </c>
      <c r="K103" s="5">
        <v>62000</v>
      </c>
      <c r="L103" s="5">
        <v>460750</v>
      </c>
      <c r="M103" s="5">
        <v>150750</v>
      </c>
    </row>
    <row r="104" spans="1:13" x14ac:dyDescent="0.3">
      <c r="A104" s="5">
        <v>103</v>
      </c>
      <c r="B104" s="10">
        <v>46057</v>
      </c>
      <c r="C104" s="5">
        <v>102</v>
      </c>
      <c r="D104" s="4" t="s">
        <v>27</v>
      </c>
      <c r="E104" s="4" t="s">
        <v>28</v>
      </c>
      <c r="F104" s="5">
        <v>203</v>
      </c>
      <c r="G104" s="4" t="s">
        <v>20</v>
      </c>
      <c r="H104" s="4" t="s">
        <v>21</v>
      </c>
      <c r="I104" s="5">
        <v>3</v>
      </c>
      <c r="J104" s="5">
        <v>90250</v>
      </c>
      <c r="K104" s="5">
        <v>62000</v>
      </c>
      <c r="L104" s="5">
        <v>270750</v>
      </c>
      <c r="M104" s="5">
        <v>84750</v>
      </c>
    </row>
    <row r="105" spans="1:13" x14ac:dyDescent="0.3">
      <c r="A105" s="5">
        <v>104</v>
      </c>
      <c r="B105" s="10">
        <v>46057</v>
      </c>
      <c r="C105" s="5">
        <v>103</v>
      </c>
      <c r="D105" s="4" t="s">
        <v>32</v>
      </c>
      <c r="E105" s="4" t="s">
        <v>31</v>
      </c>
      <c r="F105" s="5">
        <v>206</v>
      </c>
      <c r="G105" s="4" t="s">
        <v>15</v>
      </c>
      <c r="H105" s="4" t="s">
        <v>16</v>
      </c>
      <c r="I105" s="5">
        <v>3</v>
      </c>
      <c r="J105" s="5">
        <v>339500</v>
      </c>
      <c r="K105" s="5">
        <v>235000</v>
      </c>
      <c r="L105" s="5">
        <v>1018500</v>
      </c>
      <c r="M105" s="5">
        <v>313500</v>
      </c>
    </row>
    <row r="106" spans="1:13" x14ac:dyDescent="0.3">
      <c r="A106" s="5">
        <v>105</v>
      </c>
      <c r="B106" s="10">
        <v>46057</v>
      </c>
      <c r="C106" s="5">
        <v>108</v>
      </c>
      <c r="D106" s="4" t="s">
        <v>30</v>
      </c>
      <c r="E106" s="4" t="s">
        <v>31</v>
      </c>
      <c r="F106" s="5">
        <v>206</v>
      </c>
      <c r="G106" s="4" t="s">
        <v>15</v>
      </c>
      <c r="H106" s="4" t="s">
        <v>16</v>
      </c>
      <c r="I106" s="5">
        <v>3</v>
      </c>
      <c r="J106" s="5">
        <v>350000</v>
      </c>
      <c r="K106" s="5">
        <v>235000</v>
      </c>
      <c r="L106" s="5">
        <v>1050000</v>
      </c>
      <c r="M106" s="5">
        <v>345000</v>
      </c>
    </row>
    <row r="107" spans="1:13" x14ac:dyDescent="0.3">
      <c r="A107" s="5">
        <v>106</v>
      </c>
      <c r="B107" s="10">
        <v>46058</v>
      </c>
      <c r="C107" s="5">
        <v>105</v>
      </c>
      <c r="D107" s="4" t="s">
        <v>33</v>
      </c>
      <c r="E107" s="4" t="s">
        <v>34</v>
      </c>
      <c r="F107" s="5">
        <v>201</v>
      </c>
      <c r="G107" s="4" t="s">
        <v>17</v>
      </c>
      <c r="H107" s="4" t="s">
        <v>18</v>
      </c>
      <c r="I107" s="5">
        <v>4</v>
      </c>
      <c r="J107" s="5">
        <v>782000</v>
      </c>
      <c r="K107" s="5">
        <v>680000</v>
      </c>
      <c r="L107" s="5">
        <v>3128000</v>
      </c>
      <c r="M107" s="5">
        <v>408000</v>
      </c>
    </row>
    <row r="108" spans="1:13" x14ac:dyDescent="0.3">
      <c r="A108" s="5">
        <v>107</v>
      </c>
      <c r="B108" s="10">
        <v>46058</v>
      </c>
      <c r="C108" s="5">
        <v>101</v>
      </c>
      <c r="D108" s="4" t="s">
        <v>13</v>
      </c>
      <c r="E108" s="4" t="s">
        <v>14</v>
      </c>
      <c r="F108" s="5">
        <v>205</v>
      </c>
      <c r="G108" s="4" t="s">
        <v>23</v>
      </c>
      <c r="H108" s="4" t="s">
        <v>16</v>
      </c>
      <c r="I108" s="5">
        <v>1</v>
      </c>
      <c r="J108" s="5">
        <v>209000</v>
      </c>
      <c r="K108" s="5">
        <v>145000</v>
      </c>
      <c r="L108" s="5">
        <v>209000</v>
      </c>
      <c r="M108" s="5">
        <v>64000</v>
      </c>
    </row>
    <row r="109" spans="1:13" x14ac:dyDescent="0.3">
      <c r="A109" s="5">
        <v>108</v>
      </c>
      <c r="B109" s="10">
        <v>46058</v>
      </c>
      <c r="C109" s="5">
        <v>104</v>
      </c>
      <c r="D109" s="4" t="s">
        <v>25</v>
      </c>
      <c r="E109" s="4" t="s">
        <v>14</v>
      </c>
      <c r="F109" s="5">
        <v>201</v>
      </c>
      <c r="G109" s="4" t="s">
        <v>17</v>
      </c>
      <c r="H109" s="4" t="s">
        <v>18</v>
      </c>
      <c r="I109" s="5">
        <v>5</v>
      </c>
      <c r="J109" s="5">
        <v>850000</v>
      </c>
      <c r="K109" s="5">
        <v>680000</v>
      </c>
      <c r="L109" s="5">
        <v>4250000</v>
      </c>
      <c r="M109" s="5">
        <v>850000</v>
      </c>
    </row>
    <row r="110" spans="1:13" x14ac:dyDescent="0.3">
      <c r="A110" s="5">
        <v>109</v>
      </c>
      <c r="B110" s="10">
        <v>46059</v>
      </c>
      <c r="C110" s="5">
        <v>102</v>
      </c>
      <c r="D110" s="4" t="s">
        <v>27</v>
      </c>
      <c r="E110" s="4" t="s">
        <v>28</v>
      </c>
      <c r="F110" s="5">
        <v>206</v>
      </c>
      <c r="G110" s="4" t="s">
        <v>15</v>
      </c>
      <c r="H110" s="4" t="s">
        <v>16</v>
      </c>
      <c r="I110" s="5">
        <v>4</v>
      </c>
      <c r="J110" s="5">
        <v>322000</v>
      </c>
      <c r="K110" s="5">
        <v>235000</v>
      </c>
      <c r="L110" s="5">
        <v>1288000</v>
      </c>
      <c r="M110" s="5">
        <v>348000</v>
      </c>
    </row>
    <row r="111" spans="1:13" x14ac:dyDescent="0.3">
      <c r="A111" s="5">
        <v>110</v>
      </c>
      <c r="B111" s="10">
        <v>46059</v>
      </c>
      <c r="C111" s="5">
        <v>104</v>
      </c>
      <c r="D111" s="4" t="s">
        <v>25</v>
      </c>
      <c r="E111" s="4" t="s">
        <v>14</v>
      </c>
      <c r="F111" s="5">
        <v>203</v>
      </c>
      <c r="G111" s="4" t="s">
        <v>20</v>
      </c>
      <c r="H111" s="4" t="s">
        <v>21</v>
      </c>
      <c r="I111" s="5">
        <v>4</v>
      </c>
      <c r="J111" s="5">
        <v>87400</v>
      </c>
      <c r="K111" s="5">
        <v>62000</v>
      </c>
      <c r="L111" s="5">
        <v>349600</v>
      </c>
      <c r="M111" s="5">
        <v>101600</v>
      </c>
    </row>
    <row r="112" spans="1:13" x14ac:dyDescent="0.3">
      <c r="A112" s="5">
        <v>111</v>
      </c>
      <c r="B112" s="10">
        <v>46059</v>
      </c>
      <c r="C112" s="5">
        <v>107</v>
      </c>
      <c r="D112" s="4" t="s">
        <v>24</v>
      </c>
      <c r="E112" s="4" t="s">
        <v>14</v>
      </c>
      <c r="F112" s="5">
        <v>201</v>
      </c>
      <c r="G112" s="4" t="s">
        <v>17</v>
      </c>
      <c r="H112" s="4" t="s">
        <v>18</v>
      </c>
      <c r="I112" s="5">
        <v>4</v>
      </c>
      <c r="J112" s="5">
        <v>850000</v>
      </c>
      <c r="K112" s="5">
        <v>680000</v>
      </c>
      <c r="L112" s="5">
        <v>3400000</v>
      </c>
      <c r="M112" s="5">
        <v>680000</v>
      </c>
    </row>
    <row r="113" spans="1:13" x14ac:dyDescent="0.3">
      <c r="A113" s="5">
        <v>112</v>
      </c>
      <c r="B113" s="10">
        <v>46060</v>
      </c>
      <c r="C113" s="5">
        <v>107</v>
      </c>
      <c r="D113" s="4" t="s">
        <v>24</v>
      </c>
      <c r="E113" s="4" t="s">
        <v>14</v>
      </c>
      <c r="F113" s="5">
        <v>202</v>
      </c>
      <c r="G113" s="4" t="s">
        <v>19</v>
      </c>
      <c r="H113" s="4" t="s">
        <v>18</v>
      </c>
      <c r="I113" s="5">
        <v>4</v>
      </c>
      <c r="J113" s="5">
        <v>271600</v>
      </c>
      <c r="K113" s="5">
        <v>210000</v>
      </c>
      <c r="L113" s="5">
        <v>1086400</v>
      </c>
      <c r="M113" s="5">
        <v>246400</v>
      </c>
    </row>
    <row r="114" spans="1:13" x14ac:dyDescent="0.3">
      <c r="A114" s="5">
        <v>113</v>
      </c>
      <c r="B114" s="10">
        <v>46060</v>
      </c>
      <c r="C114" s="5">
        <v>102</v>
      </c>
      <c r="D114" s="4" t="s">
        <v>27</v>
      </c>
      <c r="E114" s="4" t="s">
        <v>28</v>
      </c>
      <c r="F114" s="5">
        <v>203</v>
      </c>
      <c r="G114" s="4" t="s">
        <v>20</v>
      </c>
      <c r="H114" s="4" t="s">
        <v>21</v>
      </c>
      <c r="I114" s="5">
        <v>3</v>
      </c>
      <c r="J114" s="5">
        <v>87400</v>
      </c>
      <c r="K114" s="5">
        <v>62000</v>
      </c>
      <c r="L114" s="5">
        <v>262200</v>
      </c>
      <c r="M114" s="5">
        <v>76200</v>
      </c>
    </row>
    <row r="115" spans="1:13" x14ac:dyDescent="0.3">
      <c r="A115" s="5">
        <v>114</v>
      </c>
      <c r="B115" s="10">
        <v>46061</v>
      </c>
      <c r="C115" s="5">
        <v>108</v>
      </c>
      <c r="D115" s="4" t="s">
        <v>30</v>
      </c>
      <c r="E115" s="4" t="s">
        <v>31</v>
      </c>
      <c r="F115" s="5">
        <v>206</v>
      </c>
      <c r="G115" s="4" t="s">
        <v>15</v>
      </c>
      <c r="H115" s="4" t="s">
        <v>16</v>
      </c>
      <c r="I115" s="5">
        <v>4</v>
      </c>
      <c r="J115" s="5">
        <v>332500</v>
      </c>
      <c r="K115" s="5">
        <v>235000</v>
      </c>
      <c r="L115" s="5">
        <v>1330000</v>
      </c>
      <c r="M115" s="5">
        <v>390000</v>
      </c>
    </row>
    <row r="116" spans="1:13" x14ac:dyDescent="0.3">
      <c r="A116" s="5">
        <v>115</v>
      </c>
      <c r="B116" s="10">
        <v>46061</v>
      </c>
      <c r="C116" s="5">
        <v>103</v>
      </c>
      <c r="D116" s="4" t="s">
        <v>32</v>
      </c>
      <c r="E116" s="4" t="s">
        <v>31</v>
      </c>
      <c r="F116" s="5">
        <v>203</v>
      </c>
      <c r="G116" s="4" t="s">
        <v>20</v>
      </c>
      <c r="H116" s="4" t="s">
        <v>21</v>
      </c>
      <c r="I116" s="5">
        <v>1</v>
      </c>
      <c r="J116" s="5">
        <v>92150</v>
      </c>
      <c r="K116" s="5">
        <v>62000</v>
      </c>
      <c r="L116" s="5">
        <v>92150</v>
      </c>
      <c r="M116" s="5">
        <v>30150</v>
      </c>
    </row>
    <row r="117" spans="1:13" x14ac:dyDescent="0.3">
      <c r="A117" s="5">
        <v>116</v>
      </c>
      <c r="B117" s="10">
        <v>46061</v>
      </c>
      <c r="C117" s="5">
        <v>108</v>
      </c>
      <c r="D117" s="4" t="s">
        <v>30</v>
      </c>
      <c r="E117" s="4" t="s">
        <v>31</v>
      </c>
      <c r="F117" s="5">
        <v>203</v>
      </c>
      <c r="G117" s="4" t="s">
        <v>20</v>
      </c>
      <c r="H117" s="4" t="s">
        <v>21</v>
      </c>
      <c r="I117" s="5">
        <v>1</v>
      </c>
      <c r="J117" s="5">
        <v>90250</v>
      </c>
      <c r="K117" s="5">
        <v>62000</v>
      </c>
      <c r="L117" s="5">
        <v>90250</v>
      </c>
      <c r="M117" s="5">
        <v>28250</v>
      </c>
    </row>
    <row r="118" spans="1:13" x14ac:dyDescent="0.3">
      <c r="A118" s="5">
        <v>117</v>
      </c>
      <c r="B118" s="10">
        <v>46062</v>
      </c>
      <c r="C118" s="5">
        <v>107</v>
      </c>
      <c r="D118" s="4" t="s">
        <v>24</v>
      </c>
      <c r="E118" s="4" t="s">
        <v>14</v>
      </c>
      <c r="F118" s="5">
        <v>202</v>
      </c>
      <c r="G118" s="4" t="s">
        <v>19</v>
      </c>
      <c r="H118" s="4" t="s">
        <v>18</v>
      </c>
      <c r="I118" s="5">
        <v>3</v>
      </c>
      <c r="J118" s="5">
        <v>266000</v>
      </c>
      <c r="K118" s="5">
        <v>210000</v>
      </c>
      <c r="L118" s="5">
        <v>798000</v>
      </c>
      <c r="M118" s="5">
        <v>168000</v>
      </c>
    </row>
    <row r="119" spans="1:13" x14ac:dyDescent="0.3">
      <c r="A119" s="5">
        <v>118</v>
      </c>
      <c r="B119" s="10">
        <v>46062</v>
      </c>
      <c r="C119" s="5">
        <v>102</v>
      </c>
      <c r="D119" s="4" t="s">
        <v>27</v>
      </c>
      <c r="E119" s="4" t="s">
        <v>28</v>
      </c>
      <c r="F119" s="5">
        <v>202</v>
      </c>
      <c r="G119" s="4" t="s">
        <v>19</v>
      </c>
      <c r="H119" s="4" t="s">
        <v>18</v>
      </c>
      <c r="I119" s="5">
        <v>2</v>
      </c>
      <c r="J119" s="5">
        <v>257600</v>
      </c>
      <c r="K119" s="5">
        <v>210000</v>
      </c>
      <c r="L119" s="5">
        <v>515200</v>
      </c>
      <c r="M119" s="5">
        <v>95200</v>
      </c>
    </row>
    <row r="120" spans="1:13" x14ac:dyDescent="0.3">
      <c r="A120" s="5">
        <v>119</v>
      </c>
      <c r="B120" s="10">
        <v>46062</v>
      </c>
      <c r="C120" s="5">
        <v>106</v>
      </c>
      <c r="D120" s="4" t="s">
        <v>29</v>
      </c>
      <c r="E120" s="4" t="s">
        <v>28</v>
      </c>
      <c r="F120" s="5">
        <v>206</v>
      </c>
      <c r="G120" s="4" t="s">
        <v>15</v>
      </c>
      <c r="H120" s="4" t="s">
        <v>16</v>
      </c>
      <c r="I120" s="5">
        <v>5</v>
      </c>
      <c r="J120" s="5">
        <v>322000</v>
      </c>
      <c r="K120" s="5">
        <v>235000</v>
      </c>
      <c r="L120" s="5">
        <v>1610000</v>
      </c>
      <c r="M120" s="5">
        <v>435000</v>
      </c>
    </row>
    <row r="121" spans="1:13" x14ac:dyDescent="0.3">
      <c r="A121" s="5">
        <v>120</v>
      </c>
      <c r="B121" s="10">
        <v>46062</v>
      </c>
      <c r="C121" s="5">
        <v>101</v>
      </c>
      <c r="D121" s="4" t="s">
        <v>13</v>
      </c>
      <c r="E121" s="4" t="s">
        <v>14</v>
      </c>
      <c r="F121" s="5">
        <v>206</v>
      </c>
      <c r="G121" s="4" t="s">
        <v>15</v>
      </c>
      <c r="H121" s="4" t="s">
        <v>16</v>
      </c>
      <c r="I121" s="5">
        <v>1</v>
      </c>
      <c r="J121" s="5">
        <v>339500</v>
      </c>
      <c r="K121" s="5">
        <v>235000</v>
      </c>
      <c r="L121" s="5">
        <v>339500</v>
      </c>
      <c r="M121" s="5">
        <v>104500</v>
      </c>
    </row>
    <row r="122" spans="1:13" x14ac:dyDescent="0.3">
      <c r="A122" s="5">
        <v>121</v>
      </c>
      <c r="B122" s="10">
        <v>46063</v>
      </c>
      <c r="C122" s="5">
        <v>103</v>
      </c>
      <c r="D122" s="4" t="s">
        <v>32</v>
      </c>
      <c r="E122" s="4" t="s">
        <v>31</v>
      </c>
      <c r="F122" s="5">
        <v>201</v>
      </c>
      <c r="G122" s="4" t="s">
        <v>17</v>
      </c>
      <c r="H122" s="4" t="s">
        <v>18</v>
      </c>
      <c r="I122" s="5">
        <v>1</v>
      </c>
      <c r="J122" s="5">
        <v>782000</v>
      </c>
      <c r="K122" s="5">
        <v>680000</v>
      </c>
      <c r="L122" s="5">
        <v>782000</v>
      </c>
      <c r="M122" s="5">
        <v>102000</v>
      </c>
    </row>
    <row r="123" spans="1:13" x14ac:dyDescent="0.3">
      <c r="A123" s="5">
        <v>122</v>
      </c>
      <c r="B123" s="10">
        <v>46063</v>
      </c>
      <c r="C123" s="5">
        <v>103</v>
      </c>
      <c r="D123" s="4" t="s">
        <v>32</v>
      </c>
      <c r="E123" s="4" t="s">
        <v>31</v>
      </c>
      <c r="F123" s="5">
        <v>202</v>
      </c>
      <c r="G123" s="4" t="s">
        <v>19</v>
      </c>
      <c r="H123" s="4" t="s">
        <v>18</v>
      </c>
      <c r="I123" s="5">
        <v>5</v>
      </c>
      <c r="J123" s="5">
        <v>280000</v>
      </c>
      <c r="K123" s="5">
        <v>210000</v>
      </c>
      <c r="L123" s="5">
        <v>1400000</v>
      </c>
      <c r="M123" s="5">
        <v>350000</v>
      </c>
    </row>
    <row r="124" spans="1:13" x14ac:dyDescent="0.3">
      <c r="A124" s="5">
        <v>123</v>
      </c>
      <c r="B124" s="10">
        <v>46063</v>
      </c>
      <c r="C124" s="5">
        <v>108</v>
      </c>
      <c r="D124" s="4" t="s">
        <v>30</v>
      </c>
      <c r="E124" s="4" t="s">
        <v>31</v>
      </c>
      <c r="F124" s="5">
        <v>206</v>
      </c>
      <c r="G124" s="4" t="s">
        <v>15</v>
      </c>
      <c r="H124" s="4" t="s">
        <v>16</v>
      </c>
      <c r="I124" s="5">
        <v>3</v>
      </c>
      <c r="J124" s="5">
        <v>350000</v>
      </c>
      <c r="K124" s="5">
        <v>235000</v>
      </c>
      <c r="L124" s="5">
        <v>1050000</v>
      </c>
      <c r="M124" s="5">
        <v>345000</v>
      </c>
    </row>
    <row r="125" spans="1:13" x14ac:dyDescent="0.3">
      <c r="A125" s="5">
        <v>124</v>
      </c>
      <c r="B125" s="10">
        <v>46064</v>
      </c>
      <c r="C125" s="5">
        <v>103</v>
      </c>
      <c r="D125" s="4" t="s">
        <v>32</v>
      </c>
      <c r="E125" s="4" t="s">
        <v>31</v>
      </c>
      <c r="F125" s="5">
        <v>204</v>
      </c>
      <c r="G125" s="4" t="s">
        <v>22</v>
      </c>
      <c r="H125" s="4" t="s">
        <v>21</v>
      </c>
      <c r="I125" s="5">
        <v>1</v>
      </c>
      <c r="J125" s="5">
        <v>53350</v>
      </c>
      <c r="K125" s="5">
        <v>33000</v>
      </c>
      <c r="L125" s="5">
        <v>53350</v>
      </c>
      <c r="M125" s="5">
        <v>20350</v>
      </c>
    </row>
    <row r="126" spans="1:13" x14ac:dyDescent="0.3">
      <c r="A126" s="5">
        <v>125</v>
      </c>
      <c r="B126" s="10">
        <v>46064</v>
      </c>
      <c r="C126" s="5">
        <v>101</v>
      </c>
      <c r="D126" s="4" t="s">
        <v>13</v>
      </c>
      <c r="E126" s="4" t="s">
        <v>14</v>
      </c>
      <c r="F126" s="5">
        <v>204</v>
      </c>
      <c r="G126" s="4" t="s">
        <v>22</v>
      </c>
      <c r="H126" s="4" t="s">
        <v>21</v>
      </c>
      <c r="I126" s="5">
        <v>1</v>
      </c>
      <c r="J126" s="5">
        <v>52250</v>
      </c>
      <c r="K126" s="5">
        <v>33000</v>
      </c>
      <c r="L126" s="5">
        <v>52250</v>
      </c>
      <c r="M126" s="5">
        <v>19250</v>
      </c>
    </row>
    <row r="127" spans="1:13" x14ac:dyDescent="0.3">
      <c r="A127" s="5">
        <v>126</v>
      </c>
      <c r="B127" s="10">
        <v>46065</v>
      </c>
      <c r="C127" s="5">
        <v>102</v>
      </c>
      <c r="D127" s="4" t="s">
        <v>27</v>
      </c>
      <c r="E127" s="4" t="s">
        <v>28</v>
      </c>
      <c r="F127" s="5">
        <v>202</v>
      </c>
      <c r="G127" s="4" t="s">
        <v>19</v>
      </c>
      <c r="H127" s="4" t="s">
        <v>18</v>
      </c>
      <c r="I127" s="5">
        <v>5</v>
      </c>
      <c r="J127" s="5">
        <v>280000</v>
      </c>
      <c r="K127" s="5">
        <v>210000</v>
      </c>
      <c r="L127" s="5">
        <v>1400000</v>
      </c>
      <c r="M127" s="5">
        <v>350000</v>
      </c>
    </row>
    <row r="128" spans="1:13" x14ac:dyDescent="0.3">
      <c r="A128" s="5">
        <v>127</v>
      </c>
      <c r="B128" s="10">
        <v>46065</v>
      </c>
      <c r="C128" s="5">
        <v>104</v>
      </c>
      <c r="D128" s="4" t="s">
        <v>25</v>
      </c>
      <c r="E128" s="4" t="s">
        <v>14</v>
      </c>
      <c r="F128" s="5">
        <v>204</v>
      </c>
      <c r="G128" s="4" t="s">
        <v>22</v>
      </c>
      <c r="H128" s="4" t="s">
        <v>21</v>
      </c>
      <c r="I128" s="5">
        <v>3</v>
      </c>
      <c r="J128" s="5">
        <v>52250</v>
      </c>
      <c r="K128" s="5">
        <v>33000</v>
      </c>
      <c r="L128" s="5">
        <v>156750</v>
      </c>
      <c r="M128" s="5">
        <v>57750</v>
      </c>
    </row>
    <row r="129" spans="1:13" x14ac:dyDescent="0.3">
      <c r="A129" s="5">
        <v>128</v>
      </c>
      <c r="B129" s="10">
        <v>46066</v>
      </c>
      <c r="C129" s="5">
        <v>104</v>
      </c>
      <c r="D129" s="4" t="s">
        <v>25</v>
      </c>
      <c r="E129" s="4" t="s">
        <v>14</v>
      </c>
      <c r="F129" s="5">
        <v>205</v>
      </c>
      <c r="G129" s="4" t="s">
        <v>23</v>
      </c>
      <c r="H129" s="4" t="s">
        <v>16</v>
      </c>
      <c r="I129" s="5">
        <v>2</v>
      </c>
      <c r="J129" s="5">
        <v>202400</v>
      </c>
      <c r="K129" s="5">
        <v>145000</v>
      </c>
      <c r="L129" s="5">
        <v>404800</v>
      </c>
      <c r="M129" s="5">
        <v>114800</v>
      </c>
    </row>
    <row r="130" spans="1:13" x14ac:dyDescent="0.3">
      <c r="A130" s="5">
        <v>129</v>
      </c>
      <c r="B130" s="10">
        <v>46066</v>
      </c>
      <c r="C130" s="5">
        <v>105</v>
      </c>
      <c r="D130" s="4" t="s">
        <v>33</v>
      </c>
      <c r="E130" s="4" t="s">
        <v>34</v>
      </c>
      <c r="F130" s="5">
        <v>205</v>
      </c>
      <c r="G130" s="4" t="s">
        <v>23</v>
      </c>
      <c r="H130" s="4" t="s">
        <v>16</v>
      </c>
      <c r="I130" s="5">
        <v>5</v>
      </c>
      <c r="J130" s="5">
        <v>202400</v>
      </c>
      <c r="K130" s="5">
        <v>145000</v>
      </c>
      <c r="L130" s="5">
        <v>1012000</v>
      </c>
      <c r="M130" s="5">
        <v>287000</v>
      </c>
    </row>
    <row r="131" spans="1:13" x14ac:dyDescent="0.3">
      <c r="A131" s="5">
        <v>130</v>
      </c>
      <c r="B131" s="10">
        <v>46066</v>
      </c>
      <c r="C131" s="5">
        <v>107</v>
      </c>
      <c r="D131" s="4" t="s">
        <v>24</v>
      </c>
      <c r="E131" s="4" t="s">
        <v>14</v>
      </c>
      <c r="F131" s="5">
        <v>204</v>
      </c>
      <c r="G131" s="4" t="s">
        <v>22</v>
      </c>
      <c r="H131" s="4" t="s">
        <v>21</v>
      </c>
      <c r="I131" s="5">
        <v>1</v>
      </c>
      <c r="J131" s="5">
        <v>53350</v>
      </c>
      <c r="K131" s="5">
        <v>33000</v>
      </c>
      <c r="L131" s="5">
        <v>53350</v>
      </c>
      <c r="M131" s="5">
        <v>20350</v>
      </c>
    </row>
    <row r="132" spans="1:13" x14ac:dyDescent="0.3">
      <c r="A132" s="5">
        <v>131</v>
      </c>
      <c r="B132" s="10">
        <v>46066</v>
      </c>
      <c r="C132" s="5">
        <v>102</v>
      </c>
      <c r="D132" s="4" t="s">
        <v>27</v>
      </c>
      <c r="E132" s="4" t="s">
        <v>28</v>
      </c>
      <c r="F132" s="5">
        <v>206</v>
      </c>
      <c r="G132" s="4" t="s">
        <v>15</v>
      </c>
      <c r="H132" s="4" t="s">
        <v>16</v>
      </c>
      <c r="I132" s="5">
        <v>2</v>
      </c>
      <c r="J132" s="5">
        <v>350000</v>
      </c>
      <c r="K132" s="5">
        <v>235000</v>
      </c>
      <c r="L132" s="5">
        <v>700000</v>
      </c>
      <c r="M132" s="5">
        <v>230000</v>
      </c>
    </row>
    <row r="133" spans="1:13" x14ac:dyDescent="0.3">
      <c r="A133" s="5">
        <v>132</v>
      </c>
      <c r="B133" s="10">
        <v>46067</v>
      </c>
      <c r="C133" s="5">
        <v>106</v>
      </c>
      <c r="D133" s="4" t="s">
        <v>29</v>
      </c>
      <c r="E133" s="4" t="s">
        <v>28</v>
      </c>
      <c r="F133" s="5">
        <v>204</v>
      </c>
      <c r="G133" s="4" t="s">
        <v>22</v>
      </c>
      <c r="H133" s="4" t="s">
        <v>21</v>
      </c>
      <c r="I133" s="5">
        <v>5</v>
      </c>
      <c r="J133" s="5">
        <v>53350</v>
      </c>
      <c r="K133" s="5">
        <v>33000</v>
      </c>
      <c r="L133" s="5">
        <v>266750</v>
      </c>
      <c r="M133" s="5">
        <v>101750</v>
      </c>
    </row>
    <row r="134" spans="1:13" x14ac:dyDescent="0.3">
      <c r="A134" s="5">
        <v>133</v>
      </c>
      <c r="B134" s="10">
        <v>46067</v>
      </c>
      <c r="C134" s="5">
        <v>103</v>
      </c>
      <c r="D134" s="4" t="s">
        <v>32</v>
      </c>
      <c r="E134" s="4" t="s">
        <v>31</v>
      </c>
      <c r="F134" s="5">
        <v>201</v>
      </c>
      <c r="G134" s="4" t="s">
        <v>17</v>
      </c>
      <c r="H134" s="4" t="s">
        <v>18</v>
      </c>
      <c r="I134" s="5">
        <v>1</v>
      </c>
      <c r="J134" s="5">
        <v>824500</v>
      </c>
      <c r="K134" s="5">
        <v>680000</v>
      </c>
      <c r="L134" s="5">
        <v>824500</v>
      </c>
      <c r="M134" s="5">
        <v>144500</v>
      </c>
    </row>
    <row r="135" spans="1:13" x14ac:dyDescent="0.3">
      <c r="A135" s="5">
        <v>134</v>
      </c>
      <c r="B135" s="10">
        <v>46068</v>
      </c>
      <c r="C135" s="5">
        <v>105</v>
      </c>
      <c r="D135" s="4" t="s">
        <v>33</v>
      </c>
      <c r="E135" s="4" t="s">
        <v>34</v>
      </c>
      <c r="F135" s="5">
        <v>206</v>
      </c>
      <c r="G135" s="4" t="s">
        <v>15</v>
      </c>
      <c r="H135" s="4" t="s">
        <v>16</v>
      </c>
      <c r="I135" s="5">
        <v>1</v>
      </c>
      <c r="J135" s="5">
        <v>350000</v>
      </c>
      <c r="K135" s="5">
        <v>235000</v>
      </c>
      <c r="L135" s="5">
        <v>350000</v>
      </c>
      <c r="M135" s="5">
        <v>115000</v>
      </c>
    </row>
    <row r="136" spans="1:13" x14ac:dyDescent="0.3">
      <c r="A136" s="5">
        <v>135</v>
      </c>
      <c r="B136" s="10">
        <v>46068</v>
      </c>
      <c r="C136" s="5">
        <v>107</v>
      </c>
      <c r="D136" s="4" t="s">
        <v>24</v>
      </c>
      <c r="E136" s="4" t="s">
        <v>14</v>
      </c>
      <c r="F136" s="5">
        <v>201</v>
      </c>
      <c r="G136" s="4" t="s">
        <v>17</v>
      </c>
      <c r="H136" s="4" t="s">
        <v>18</v>
      </c>
      <c r="I136" s="5">
        <v>1</v>
      </c>
      <c r="J136" s="5">
        <v>824500</v>
      </c>
      <c r="K136" s="5">
        <v>680000</v>
      </c>
      <c r="L136" s="5">
        <v>824500</v>
      </c>
      <c r="M136" s="5">
        <v>144500</v>
      </c>
    </row>
    <row r="137" spans="1:13" x14ac:dyDescent="0.3">
      <c r="A137" s="5">
        <v>136</v>
      </c>
      <c r="B137" s="10">
        <v>46068</v>
      </c>
      <c r="C137" s="5">
        <v>108</v>
      </c>
      <c r="D137" s="4" t="s">
        <v>30</v>
      </c>
      <c r="E137" s="4" t="s">
        <v>31</v>
      </c>
      <c r="F137" s="5">
        <v>205</v>
      </c>
      <c r="G137" s="4" t="s">
        <v>23</v>
      </c>
      <c r="H137" s="4" t="s">
        <v>16</v>
      </c>
      <c r="I137" s="5">
        <v>1</v>
      </c>
      <c r="J137" s="5">
        <v>202400</v>
      </c>
      <c r="K137" s="5">
        <v>145000</v>
      </c>
      <c r="L137" s="5">
        <v>202400</v>
      </c>
      <c r="M137" s="5">
        <v>57400</v>
      </c>
    </row>
    <row r="138" spans="1:13" x14ac:dyDescent="0.3">
      <c r="A138" s="5">
        <v>137</v>
      </c>
      <c r="B138" s="10">
        <v>46068</v>
      </c>
      <c r="C138" s="5">
        <v>107</v>
      </c>
      <c r="D138" s="4" t="s">
        <v>24</v>
      </c>
      <c r="E138" s="4" t="s">
        <v>14</v>
      </c>
      <c r="F138" s="5">
        <v>205</v>
      </c>
      <c r="G138" s="4" t="s">
        <v>23</v>
      </c>
      <c r="H138" s="4" t="s">
        <v>16</v>
      </c>
      <c r="I138" s="5">
        <v>5</v>
      </c>
      <c r="J138" s="5">
        <v>220000</v>
      </c>
      <c r="K138" s="5">
        <v>145000</v>
      </c>
      <c r="L138" s="5">
        <v>1100000</v>
      </c>
      <c r="M138" s="5">
        <v>375000</v>
      </c>
    </row>
    <row r="139" spans="1:13" x14ac:dyDescent="0.3">
      <c r="A139" s="5">
        <v>138</v>
      </c>
      <c r="B139" s="10">
        <v>46069</v>
      </c>
      <c r="C139" s="5">
        <v>103</v>
      </c>
      <c r="D139" s="4" t="s">
        <v>32</v>
      </c>
      <c r="E139" s="4" t="s">
        <v>31</v>
      </c>
      <c r="F139" s="5">
        <v>205</v>
      </c>
      <c r="G139" s="4" t="s">
        <v>23</v>
      </c>
      <c r="H139" s="4" t="s">
        <v>16</v>
      </c>
      <c r="I139" s="5">
        <v>3</v>
      </c>
      <c r="J139" s="5">
        <v>202400</v>
      </c>
      <c r="K139" s="5">
        <v>145000</v>
      </c>
      <c r="L139" s="5">
        <v>607200</v>
      </c>
      <c r="M139" s="5">
        <v>172200</v>
      </c>
    </row>
    <row r="140" spans="1:13" x14ac:dyDescent="0.3">
      <c r="A140" s="5">
        <v>139</v>
      </c>
      <c r="B140" s="10">
        <v>46069</v>
      </c>
      <c r="C140" s="5">
        <v>106</v>
      </c>
      <c r="D140" s="4" t="s">
        <v>29</v>
      </c>
      <c r="E140" s="4" t="s">
        <v>28</v>
      </c>
      <c r="F140" s="5">
        <v>204</v>
      </c>
      <c r="G140" s="4" t="s">
        <v>22</v>
      </c>
      <c r="H140" s="4" t="s">
        <v>21</v>
      </c>
      <c r="I140" s="5">
        <v>4</v>
      </c>
      <c r="J140" s="5">
        <v>50600</v>
      </c>
      <c r="K140" s="5">
        <v>33000</v>
      </c>
      <c r="L140" s="5">
        <v>202400</v>
      </c>
      <c r="M140" s="5">
        <v>70400</v>
      </c>
    </row>
    <row r="141" spans="1:13" x14ac:dyDescent="0.3">
      <c r="A141" s="5">
        <v>140</v>
      </c>
      <c r="B141" s="10">
        <v>46069</v>
      </c>
      <c r="C141" s="5">
        <v>106</v>
      </c>
      <c r="D141" s="4" t="s">
        <v>29</v>
      </c>
      <c r="E141" s="4" t="s">
        <v>28</v>
      </c>
      <c r="F141" s="5">
        <v>201</v>
      </c>
      <c r="G141" s="4" t="s">
        <v>17</v>
      </c>
      <c r="H141" s="4" t="s">
        <v>18</v>
      </c>
      <c r="I141" s="5">
        <v>5</v>
      </c>
      <c r="J141" s="5">
        <v>807500</v>
      </c>
      <c r="K141" s="5">
        <v>680000</v>
      </c>
      <c r="L141" s="5">
        <v>4037500</v>
      </c>
      <c r="M141" s="5">
        <v>637500</v>
      </c>
    </row>
    <row r="142" spans="1:13" x14ac:dyDescent="0.3">
      <c r="A142" s="5">
        <v>141</v>
      </c>
      <c r="B142" s="10">
        <v>46069</v>
      </c>
      <c r="C142" s="5">
        <v>103</v>
      </c>
      <c r="D142" s="4" t="s">
        <v>32</v>
      </c>
      <c r="E142" s="4" t="s">
        <v>31</v>
      </c>
      <c r="F142" s="5">
        <v>204</v>
      </c>
      <c r="G142" s="4" t="s">
        <v>22</v>
      </c>
      <c r="H142" s="4" t="s">
        <v>21</v>
      </c>
      <c r="I142" s="5">
        <v>5</v>
      </c>
      <c r="J142" s="5">
        <v>50600</v>
      </c>
      <c r="K142" s="5">
        <v>33000</v>
      </c>
      <c r="L142" s="5">
        <v>253000</v>
      </c>
      <c r="M142" s="5">
        <v>88000</v>
      </c>
    </row>
    <row r="143" spans="1:13" x14ac:dyDescent="0.3">
      <c r="A143" s="5">
        <v>142</v>
      </c>
      <c r="B143" s="10">
        <v>46070</v>
      </c>
      <c r="C143" s="5">
        <v>104</v>
      </c>
      <c r="D143" s="4" t="s">
        <v>25</v>
      </c>
      <c r="E143" s="4" t="s">
        <v>14</v>
      </c>
      <c r="F143" s="5">
        <v>205</v>
      </c>
      <c r="G143" s="4" t="s">
        <v>23</v>
      </c>
      <c r="H143" s="4" t="s">
        <v>16</v>
      </c>
      <c r="I143" s="5">
        <v>2</v>
      </c>
      <c r="J143" s="5">
        <v>209000</v>
      </c>
      <c r="K143" s="5">
        <v>145000</v>
      </c>
      <c r="L143" s="5">
        <v>418000</v>
      </c>
      <c r="M143" s="5">
        <v>128000</v>
      </c>
    </row>
    <row r="144" spans="1:13" x14ac:dyDescent="0.3">
      <c r="A144" s="5">
        <v>143</v>
      </c>
      <c r="B144" s="10">
        <v>46070</v>
      </c>
      <c r="C144" s="5">
        <v>106</v>
      </c>
      <c r="D144" s="4" t="s">
        <v>29</v>
      </c>
      <c r="E144" s="4" t="s">
        <v>28</v>
      </c>
      <c r="F144" s="5">
        <v>202</v>
      </c>
      <c r="G144" s="4" t="s">
        <v>19</v>
      </c>
      <c r="H144" s="4" t="s">
        <v>18</v>
      </c>
      <c r="I144" s="5">
        <v>2</v>
      </c>
      <c r="J144" s="5">
        <v>280000</v>
      </c>
      <c r="K144" s="5">
        <v>210000</v>
      </c>
      <c r="L144" s="5">
        <v>560000</v>
      </c>
      <c r="M144" s="5">
        <v>140000</v>
      </c>
    </row>
    <row r="145" spans="1:13" x14ac:dyDescent="0.3">
      <c r="A145" s="5">
        <v>144</v>
      </c>
      <c r="B145" s="10">
        <v>46070</v>
      </c>
      <c r="C145" s="5">
        <v>102</v>
      </c>
      <c r="D145" s="4" t="s">
        <v>27</v>
      </c>
      <c r="E145" s="4" t="s">
        <v>28</v>
      </c>
      <c r="F145" s="5">
        <v>203</v>
      </c>
      <c r="G145" s="4" t="s">
        <v>20</v>
      </c>
      <c r="H145" s="4" t="s">
        <v>21</v>
      </c>
      <c r="I145" s="5">
        <v>3</v>
      </c>
      <c r="J145" s="5">
        <v>95000</v>
      </c>
      <c r="K145" s="5">
        <v>62000</v>
      </c>
      <c r="L145" s="5">
        <v>285000</v>
      </c>
      <c r="M145" s="5">
        <v>99000</v>
      </c>
    </row>
    <row r="146" spans="1:13" x14ac:dyDescent="0.3">
      <c r="A146" s="5">
        <v>145</v>
      </c>
      <c r="B146" s="10">
        <v>46070</v>
      </c>
      <c r="C146" s="5">
        <v>104</v>
      </c>
      <c r="D146" s="4" t="s">
        <v>25</v>
      </c>
      <c r="E146" s="4" t="s">
        <v>14</v>
      </c>
      <c r="F146" s="5">
        <v>204</v>
      </c>
      <c r="G146" s="4" t="s">
        <v>22</v>
      </c>
      <c r="H146" s="4" t="s">
        <v>21</v>
      </c>
      <c r="I146" s="5">
        <v>2</v>
      </c>
      <c r="J146" s="5">
        <v>53350</v>
      </c>
      <c r="K146" s="5">
        <v>33000</v>
      </c>
      <c r="L146" s="5">
        <v>106700</v>
      </c>
      <c r="M146" s="5">
        <v>40700</v>
      </c>
    </row>
    <row r="147" spans="1:13" x14ac:dyDescent="0.3">
      <c r="A147" s="5">
        <v>146</v>
      </c>
      <c r="B147" s="10">
        <v>46071</v>
      </c>
      <c r="C147" s="5">
        <v>105</v>
      </c>
      <c r="D147" s="4" t="s">
        <v>33</v>
      </c>
      <c r="E147" s="4" t="s">
        <v>34</v>
      </c>
      <c r="F147" s="5">
        <v>203</v>
      </c>
      <c r="G147" s="4" t="s">
        <v>20</v>
      </c>
      <c r="H147" s="4" t="s">
        <v>21</v>
      </c>
      <c r="I147" s="5">
        <v>4</v>
      </c>
      <c r="J147" s="5">
        <v>92150</v>
      </c>
      <c r="K147" s="5">
        <v>62000</v>
      </c>
      <c r="L147" s="5">
        <v>368600</v>
      </c>
      <c r="M147" s="5">
        <v>120600</v>
      </c>
    </row>
    <row r="148" spans="1:13" x14ac:dyDescent="0.3">
      <c r="A148" s="5">
        <v>147</v>
      </c>
      <c r="B148" s="10">
        <v>46071</v>
      </c>
      <c r="C148" s="5">
        <v>104</v>
      </c>
      <c r="D148" s="4" t="s">
        <v>25</v>
      </c>
      <c r="E148" s="4" t="s">
        <v>14</v>
      </c>
      <c r="F148" s="5">
        <v>203</v>
      </c>
      <c r="G148" s="4" t="s">
        <v>20</v>
      </c>
      <c r="H148" s="4" t="s">
        <v>21</v>
      </c>
      <c r="I148" s="5">
        <v>1</v>
      </c>
      <c r="J148" s="5">
        <v>90250</v>
      </c>
      <c r="K148" s="5">
        <v>62000</v>
      </c>
      <c r="L148" s="5">
        <v>90250</v>
      </c>
      <c r="M148" s="5">
        <v>28250</v>
      </c>
    </row>
    <row r="149" spans="1:13" x14ac:dyDescent="0.3">
      <c r="A149" s="5">
        <v>148</v>
      </c>
      <c r="B149" s="10">
        <v>46071</v>
      </c>
      <c r="C149" s="5">
        <v>102</v>
      </c>
      <c r="D149" s="4" t="s">
        <v>27</v>
      </c>
      <c r="E149" s="4" t="s">
        <v>28</v>
      </c>
      <c r="F149" s="5">
        <v>202</v>
      </c>
      <c r="G149" s="4" t="s">
        <v>19</v>
      </c>
      <c r="H149" s="4" t="s">
        <v>18</v>
      </c>
      <c r="I149" s="5">
        <v>4</v>
      </c>
      <c r="J149" s="5">
        <v>257600</v>
      </c>
      <c r="K149" s="5">
        <v>210000</v>
      </c>
      <c r="L149" s="5">
        <v>1030400</v>
      </c>
      <c r="M149" s="5">
        <v>190400</v>
      </c>
    </row>
    <row r="150" spans="1:13" x14ac:dyDescent="0.3">
      <c r="A150" s="5">
        <v>149</v>
      </c>
      <c r="B150" s="10">
        <v>46072</v>
      </c>
      <c r="C150" s="5">
        <v>108</v>
      </c>
      <c r="D150" s="4" t="s">
        <v>30</v>
      </c>
      <c r="E150" s="4" t="s">
        <v>31</v>
      </c>
      <c r="F150" s="5">
        <v>206</v>
      </c>
      <c r="G150" s="4" t="s">
        <v>15</v>
      </c>
      <c r="H150" s="4" t="s">
        <v>16</v>
      </c>
      <c r="I150" s="5">
        <v>3</v>
      </c>
      <c r="J150" s="5">
        <v>322000</v>
      </c>
      <c r="K150" s="5">
        <v>235000</v>
      </c>
      <c r="L150" s="5">
        <v>966000</v>
      </c>
      <c r="M150" s="5">
        <v>261000</v>
      </c>
    </row>
    <row r="151" spans="1:13" x14ac:dyDescent="0.3">
      <c r="A151" s="5">
        <v>150</v>
      </c>
      <c r="B151" s="10">
        <v>46072</v>
      </c>
      <c r="C151" s="5">
        <v>103</v>
      </c>
      <c r="D151" s="4" t="s">
        <v>32</v>
      </c>
      <c r="E151" s="4" t="s">
        <v>31</v>
      </c>
      <c r="F151" s="5">
        <v>203</v>
      </c>
      <c r="G151" s="4" t="s">
        <v>20</v>
      </c>
      <c r="H151" s="4" t="s">
        <v>21</v>
      </c>
      <c r="I151" s="5">
        <v>3</v>
      </c>
      <c r="J151" s="5">
        <v>87400</v>
      </c>
      <c r="K151" s="5">
        <v>62000</v>
      </c>
      <c r="L151" s="5">
        <v>262200</v>
      </c>
      <c r="M151" s="5">
        <v>76200</v>
      </c>
    </row>
    <row r="152" spans="1:13" x14ac:dyDescent="0.3">
      <c r="A152" s="5">
        <v>151</v>
      </c>
      <c r="B152" s="10">
        <v>46072</v>
      </c>
      <c r="C152" s="5">
        <v>107</v>
      </c>
      <c r="D152" s="4" t="s">
        <v>24</v>
      </c>
      <c r="E152" s="4" t="s">
        <v>14</v>
      </c>
      <c r="F152" s="5">
        <v>203</v>
      </c>
      <c r="G152" s="4" t="s">
        <v>20</v>
      </c>
      <c r="H152" s="4" t="s">
        <v>21</v>
      </c>
      <c r="I152" s="5">
        <v>4</v>
      </c>
      <c r="J152" s="5">
        <v>95000</v>
      </c>
      <c r="K152" s="5">
        <v>62000</v>
      </c>
      <c r="L152" s="5">
        <v>380000</v>
      </c>
      <c r="M152" s="5">
        <v>132000</v>
      </c>
    </row>
    <row r="153" spans="1:13" x14ac:dyDescent="0.3">
      <c r="A153" s="5">
        <v>152</v>
      </c>
      <c r="B153" s="10">
        <v>46072</v>
      </c>
      <c r="C153" s="5">
        <v>107</v>
      </c>
      <c r="D153" s="4" t="s">
        <v>24</v>
      </c>
      <c r="E153" s="4" t="s">
        <v>14</v>
      </c>
      <c r="F153" s="5">
        <v>204</v>
      </c>
      <c r="G153" s="4" t="s">
        <v>22</v>
      </c>
      <c r="H153" s="4" t="s">
        <v>21</v>
      </c>
      <c r="I153" s="5">
        <v>3</v>
      </c>
      <c r="J153" s="5">
        <v>50600</v>
      </c>
      <c r="K153" s="5">
        <v>33000</v>
      </c>
      <c r="L153" s="5">
        <v>151800</v>
      </c>
      <c r="M153" s="5">
        <v>52800</v>
      </c>
    </row>
    <row r="154" spans="1:13" x14ac:dyDescent="0.3">
      <c r="A154" s="5">
        <v>153</v>
      </c>
      <c r="B154" s="10">
        <v>46073</v>
      </c>
      <c r="C154" s="5">
        <v>101</v>
      </c>
      <c r="D154" s="4" t="s">
        <v>13</v>
      </c>
      <c r="E154" s="4" t="s">
        <v>14</v>
      </c>
      <c r="F154" s="5">
        <v>202</v>
      </c>
      <c r="G154" s="4" t="s">
        <v>19</v>
      </c>
      <c r="H154" s="4" t="s">
        <v>18</v>
      </c>
      <c r="I154" s="5">
        <v>1</v>
      </c>
      <c r="J154" s="5">
        <v>266000</v>
      </c>
      <c r="K154" s="5">
        <v>210000</v>
      </c>
      <c r="L154" s="5">
        <v>266000</v>
      </c>
      <c r="M154" s="5">
        <v>56000</v>
      </c>
    </row>
    <row r="155" spans="1:13" x14ac:dyDescent="0.3">
      <c r="A155" s="5">
        <v>154</v>
      </c>
      <c r="B155" s="10">
        <v>46073</v>
      </c>
      <c r="C155" s="5">
        <v>101</v>
      </c>
      <c r="D155" s="4" t="s">
        <v>13</v>
      </c>
      <c r="E155" s="4" t="s">
        <v>14</v>
      </c>
      <c r="F155" s="5">
        <v>202</v>
      </c>
      <c r="G155" s="4" t="s">
        <v>19</v>
      </c>
      <c r="H155" s="4" t="s">
        <v>18</v>
      </c>
      <c r="I155" s="5">
        <v>3</v>
      </c>
      <c r="J155" s="5">
        <v>266000</v>
      </c>
      <c r="K155" s="5">
        <v>210000</v>
      </c>
      <c r="L155" s="5">
        <v>798000</v>
      </c>
      <c r="M155" s="5">
        <v>168000</v>
      </c>
    </row>
    <row r="156" spans="1:13" x14ac:dyDescent="0.3">
      <c r="A156" s="5">
        <v>155</v>
      </c>
      <c r="B156" s="10">
        <v>46073</v>
      </c>
      <c r="C156" s="5">
        <v>105</v>
      </c>
      <c r="D156" s="4" t="s">
        <v>33</v>
      </c>
      <c r="E156" s="4" t="s">
        <v>34</v>
      </c>
      <c r="F156" s="5">
        <v>206</v>
      </c>
      <c r="G156" s="4" t="s">
        <v>15</v>
      </c>
      <c r="H156" s="4" t="s">
        <v>16</v>
      </c>
      <c r="I156" s="5">
        <v>5</v>
      </c>
      <c r="J156" s="5">
        <v>350000</v>
      </c>
      <c r="K156" s="5">
        <v>235000</v>
      </c>
      <c r="L156" s="5">
        <v>1750000</v>
      </c>
      <c r="M156" s="5">
        <v>575000</v>
      </c>
    </row>
    <row r="157" spans="1:13" x14ac:dyDescent="0.3">
      <c r="A157" s="5">
        <v>156</v>
      </c>
      <c r="B157" s="10">
        <v>46074</v>
      </c>
      <c r="C157" s="5">
        <v>105</v>
      </c>
      <c r="D157" s="4" t="s">
        <v>33</v>
      </c>
      <c r="E157" s="4" t="s">
        <v>34</v>
      </c>
      <c r="F157" s="5">
        <v>204</v>
      </c>
      <c r="G157" s="4" t="s">
        <v>22</v>
      </c>
      <c r="H157" s="4" t="s">
        <v>21</v>
      </c>
      <c r="I157" s="5">
        <v>1</v>
      </c>
      <c r="J157" s="5">
        <v>52250</v>
      </c>
      <c r="K157" s="5">
        <v>33000</v>
      </c>
      <c r="L157" s="5">
        <v>52250</v>
      </c>
      <c r="M157" s="5">
        <v>19250</v>
      </c>
    </row>
    <row r="158" spans="1:13" x14ac:dyDescent="0.3">
      <c r="A158" s="5">
        <v>157</v>
      </c>
      <c r="B158" s="10">
        <v>46074</v>
      </c>
      <c r="C158" s="5">
        <v>106</v>
      </c>
      <c r="D158" s="4" t="s">
        <v>29</v>
      </c>
      <c r="E158" s="4" t="s">
        <v>28</v>
      </c>
      <c r="F158" s="5">
        <v>204</v>
      </c>
      <c r="G158" s="4" t="s">
        <v>22</v>
      </c>
      <c r="H158" s="4" t="s">
        <v>21</v>
      </c>
      <c r="I158" s="5">
        <v>1</v>
      </c>
      <c r="J158" s="5">
        <v>52250</v>
      </c>
      <c r="K158" s="5">
        <v>33000</v>
      </c>
      <c r="L158" s="5">
        <v>52250</v>
      </c>
      <c r="M158" s="5">
        <v>19250</v>
      </c>
    </row>
    <row r="159" spans="1:13" x14ac:dyDescent="0.3">
      <c r="A159" s="5">
        <v>158</v>
      </c>
      <c r="B159" s="10">
        <v>46074</v>
      </c>
      <c r="C159" s="5">
        <v>108</v>
      </c>
      <c r="D159" s="4" t="s">
        <v>30</v>
      </c>
      <c r="E159" s="4" t="s">
        <v>31</v>
      </c>
      <c r="F159" s="5">
        <v>205</v>
      </c>
      <c r="G159" s="4" t="s">
        <v>23</v>
      </c>
      <c r="H159" s="4" t="s">
        <v>16</v>
      </c>
      <c r="I159" s="5">
        <v>1</v>
      </c>
      <c r="J159" s="5">
        <v>202400</v>
      </c>
      <c r="K159" s="5">
        <v>145000</v>
      </c>
      <c r="L159" s="5">
        <v>202400</v>
      </c>
      <c r="M159" s="5">
        <v>57400</v>
      </c>
    </row>
    <row r="160" spans="1:13" x14ac:dyDescent="0.3">
      <c r="A160" s="5">
        <v>159</v>
      </c>
      <c r="B160" s="10">
        <v>46074</v>
      </c>
      <c r="C160" s="5">
        <v>108</v>
      </c>
      <c r="D160" s="4" t="s">
        <v>30</v>
      </c>
      <c r="E160" s="4" t="s">
        <v>31</v>
      </c>
      <c r="F160" s="5">
        <v>202</v>
      </c>
      <c r="G160" s="4" t="s">
        <v>19</v>
      </c>
      <c r="H160" s="4" t="s">
        <v>18</v>
      </c>
      <c r="I160" s="5">
        <v>5</v>
      </c>
      <c r="J160" s="5">
        <v>271600</v>
      </c>
      <c r="K160" s="5">
        <v>210000</v>
      </c>
      <c r="L160" s="5">
        <v>1358000</v>
      </c>
      <c r="M160" s="5">
        <v>308000</v>
      </c>
    </row>
    <row r="161" spans="1:13" x14ac:dyDescent="0.3">
      <c r="A161" s="5">
        <v>160</v>
      </c>
      <c r="B161" s="10">
        <v>46075</v>
      </c>
      <c r="C161" s="5">
        <v>104</v>
      </c>
      <c r="D161" s="4" t="s">
        <v>25</v>
      </c>
      <c r="E161" s="4" t="s">
        <v>14</v>
      </c>
      <c r="F161" s="5">
        <v>205</v>
      </c>
      <c r="G161" s="4" t="s">
        <v>23</v>
      </c>
      <c r="H161" s="4" t="s">
        <v>16</v>
      </c>
      <c r="I161" s="5">
        <v>5</v>
      </c>
      <c r="J161" s="5">
        <v>202400</v>
      </c>
      <c r="K161" s="5">
        <v>145000</v>
      </c>
      <c r="L161" s="5">
        <v>1012000</v>
      </c>
      <c r="M161" s="5">
        <v>287000</v>
      </c>
    </row>
    <row r="162" spans="1:13" x14ac:dyDescent="0.3">
      <c r="A162" s="5">
        <v>161</v>
      </c>
      <c r="B162" s="10">
        <v>46075</v>
      </c>
      <c r="C162" s="5">
        <v>108</v>
      </c>
      <c r="D162" s="4" t="s">
        <v>30</v>
      </c>
      <c r="E162" s="4" t="s">
        <v>31</v>
      </c>
      <c r="F162" s="5">
        <v>206</v>
      </c>
      <c r="G162" s="4" t="s">
        <v>15</v>
      </c>
      <c r="H162" s="4" t="s">
        <v>16</v>
      </c>
      <c r="I162" s="5">
        <v>1</v>
      </c>
      <c r="J162" s="5">
        <v>339500</v>
      </c>
      <c r="K162" s="5">
        <v>235000</v>
      </c>
      <c r="L162" s="5">
        <v>339500</v>
      </c>
      <c r="M162" s="5">
        <v>104500</v>
      </c>
    </row>
    <row r="163" spans="1:13" x14ac:dyDescent="0.3">
      <c r="A163" s="5">
        <v>162</v>
      </c>
      <c r="B163" s="10">
        <v>46075</v>
      </c>
      <c r="C163" s="5">
        <v>106</v>
      </c>
      <c r="D163" s="4" t="s">
        <v>29</v>
      </c>
      <c r="E163" s="4" t="s">
        <v>28</v>
      </c>
      <c r="F163" s="5">
        <v>204</v>
      </c>
      <c r="G163" s="4" t="s">
        <v>22</v>
      </c>
      <c r="H163" s="4" t="s">
        <v>21</v>
      </c>
      <c r="I163" s="5">
        <v>1</v>
      </c>
      <c r="J163" s="5">
        <v>55000</v>
      </c>
      <c r="K163" s="5">
        <v>33000</v>
      </c>
      <c r="L163" s="5">
        <v>55000</v>
      </c>
      <c r="M163" s="5">
        <v>22000</v>
      </c>
    </row>
    <row r="164" spans="1:13" x14ac:dyDescent="0.3">
      <c r="A164" s="5">
        <v>163</v>
      </c>
      <c r="B164" s="10">
        <v>46076</v>
      </c>
      <c r="C164" s="5">
        <v>105</v>
      </c>
      <c r="D164" s="4" t="s">
        <v>33</v>
      </c>
      <c r="E164" s="4" t="s">
        <v>34</v>
      </c>
      <c r="F164" s="5">
        <v>202</v>
      </c>
      <c r="G164" s="4" t="s">
        <v>19</v>
      </c>
      <c r="H164" s="4" t="s">
        <v>18</v>
      </c>
      <c r="I164" s="5">
        <v>1</v>
      </c>
      <c r="J164" s="5">
        <v>280000</v>
      </c>
      <c r="K164" s="5">
        <v>210000</v>
      </c>
      <c r="L164" s="5">
        <v>280000</v>
      </c>
      <c r="M164" s="5">
        <v>70000</v>
      </c>
    </row>
    <row r="165" spans="1:13" x14ac:dyDescent="0.3">
      <c r="A165" s="5">
        <v>164</v>
      </c>
      <c r="B165" s="10">
        <v>46076</v>
      </c>
      <c r="C165" s="5">
        <v>105</v>
      </c>
      <c r="D165" s="4" t="s">
        <v>33</v>
      </c>
      <c r="E165" s="4" t="s">
        <v>34</v>
      </c>
      <c r="F165" s="5">
        <v>201</v>
      </c>
      <c r="G165" s="4" t="s">
        <v>17</v>
      </c>
      <c r="H165" s="4" t="s">
        <v>18</v>
      </c>
      <c r="I165" s="5">
        <v>3</v>
      </c>
      <c r="J165" s="5">
        <v>824500</v>
      </c>
      <c r="K165" s="5">
        <v>680000</v>
      </c>
      <c r="L165" s="5">
        <v>2473500</v>
      </c>
      <c r="M165" s="5">
        <v>433500</v>
      </c>
    </row>
    <row r="166" spans="1:13" x14ac:dyDescent="0.3">
      <c r="A166" s="5">
        <v>165</v>
      </c>
      <c r="B166" s="10">
        <v>46076</v>
      </c>
      <c r="C166" s="5">
        <v>104</v>
      </c>
      <c r="D166" s="4" t="s">
        <v>25</v>
      </c>
      <c r="E166" s="4" t="s">
        <v>14</v>
      </c>
      <c r="F166" s="5">
        <v>205</v>
      </c>
      <c r="G166" s="4" t="s">
        <v>23</v>
      </c>
      <c r="H166" s="4" t="s">
        <v>16</v>
      </c>
      <c r="I166" s="5">
        <v>3</v>
      </c>
      <c r="J166" s="5">
        <v>209000</v>
      </c>
      <c r="K166" s="5">
        <v>145000</v>
      </c>
      <c r="L166" s="5">
        <v>627000</v>
      </c>
      <c r="M166" s="5">
        <v>192000</v>
      </c>
    </row>
    <row r="167" spans="1:13" x14ac:dyDescent="0.3">
      <c r="A167" s="5">
        <v>166</v>
      </c>
      <c r="B167" s="10">
        <v>46077</v>
      </c>
      <c r="C167" s="5">
        <v>108</v>
      </c>
      <c r="D167" s="4" t="s">
        <v>30</v>
      </c>
      <c r="E167" s="4" t="s">
        <v>31</v>
      </c>
      <c r="F167" s="5">
        <v>205</v>
      </c>
      <c r="G167" s="4" t="s">
        <v>23</v>
      </c>
      <c r="H167" s="4" t="s">
        <v>16</v>
      </c>
      <c r="I167" s="5">
        <v>3</v>
      </c>
      <c r="J167" s="5">
        <v>213400</v>
      </c>
      <c r="K167" s="5">
        <v>145000</v>
      </c>
      <c r="L167" s="5">
        <v>640200</v>
      </c>
      <c r="M167" s="5">
        <v>205200</v>
      </c>
    </row>
    <row r="168" spans="1:13" x14ac:dyDescent="0.3">
      <c r="A168" s="5">
        <v>167</v>
      </c>
      <c r="B168" s="10">
        <v>46077</v>
      </c>
      <c r="C168" s="5">
        <v>102</v>
      </c>
      <c r="D168" s="4" t="s">
        <v>27</v>
      </c>
      <c r="E168" s="4" t="s">
        <v>28</v>
      </c>
      <c r="F168" s="5">
        <v>204</v>
      </c>
      <c r="G168" s="4" t="s">
        <v>22</v>
      </c>
      <c r="H168" s="4" t="s">
        <v>21</v>
      </c>
      <c r="I168" s="5">
        <v>1</v>
      </c>
      <c r="J168" s="5">
        <v>50600</v>
      </c>
      <c r="K168" s="5">
        <v>33000</v>
      </c>
      <c r="L168" s="5">
        <v>50600</v>
      </c>
      <c r="M168" s="5">
        <v>17600</v>
      </c>
    </row>
    <row r="169" spans="1:13" x14ac:dyDescent="0.3">
      <c r="A169" s="5">
        <v>168</v>
      </c>
      <c r="B169" s="10">
        <v>46077</v>
      </c>
      <c r="C169" s="5">
        <v>107</v>
      </c>
      <c r="D169" s="4" t="s">
        <v>24</v>
      </c>
      <c r="E169" s="4" t="s">
        <v>14</v>
      </c>
      <c r="F169" s="5">
        <v>201</v>
      </c>
      <c r="G169" s="4" t="s">
        <v>17</v>
      </c>
      <c r="H169" s="4" t="s">
        <v>18</v>
      </c>
      <c r="I169" s="5">
        <v>4</v>
      </c>
      <c r="J169" s="5">
        <v>850000</v>
      </c>
      <c r="K169" s="5">
        <v>680000</v>
      </c>
      <c r="L169" s="5">
        <v>3400000</v>
      </c>
      <c r="M169" s="5">
        <v>680000</v>
      </c>
    </row>
    <row r="170" spans="1:13" x14ac:dyDescent="0.3">
      <c r="A170" s="5">
        <v>169</v>
      </c>
      <c r="B170" s="10">
        <v>46077</v>
      </c>
      <c r="C170" s="5">
        <v>106</v>
      </c>
      <c r="D170" s="4" t="s">
        <v>29</v>
      </c>
      <c r="E170" s="4" t="s">
        <v>28</v>
      </c>
      <c r="F170" s="5">
        <v>201</v>
      </c>
      <c r="G170" s="4" t="s">
        <v>17</v>
      </c>
      <c r="H170" s="4" t="s">
        <v>18</v>
      </c>
      <c r="I170" s="5">
        <v>3</v>
      </c>
      <c r="J170" s="5">
        <v>807500</v>
      </c>
      <c r="K170" s="5">
        <v>680000</v>
      </c>
      <c r="L170" s="5">
        <v>2422500</v>
      </c>
      <c r="M170" s="5">
        <v>382500</v>
      </c>
    </row>
    <row r="171" spans="1:13" x14ac:dyDescent="0.3">
      <c r="A171" s="5">
        <v>170</v>
      </c>
      <c r="B171" s="10">
        <v>46078</v>
      </c>
      <c r="C171" s="5">
        <v>104</v>
      </c>
      <c r="D171" s="4" t="s">
        <v>25</v>
      </c>
      <c r="E171" s="4" t="s">
        <v>14</v>
      </c>
      <c r="F171" s="5">
        <v>206</v>
      </c>
      <c r="G171" s="4" t="s">
        <v>15</v>
      </c>
      <c r="H171" s="4" t="s">
        <v>16</v>
      </c>
      <c r="I171" s="5">
        <v>4</v>
      </c>
      <c r="J171" s="5">
        <v>350000</v>
      </c>
      <c r="K171" s="5">
        <v>235000</v>
      </c>
      <c r="L171" s="5">
        <v>1400000</v>
      </c>
      <c r="M171" s="5">
        <v>460000</v>
      </c>
    </row>
    <row r="172" spans="1:13" x14ac:dyDescent="0.3">
      <c r="A172" s="5">
        <v>171</v>
      </c>
      <c r="B172" s="10">
        <v>46078</v>
      </c>
      <c r="C172" s="5">
        <v>106</v>
      </c>
      <c r="D172" s="4" t="s">
        <v>29</v>
      </c>
      <c r="E172" s="4" t="s">
        <v>28</v>
      </c>
      <c r="F172" s="5">
        <v>205</v>
      </c>
      <c r="G172" s="4" t="s">
        <v>23</v>
      </c>
      <c r="H172" s="4" t="s">
        <v>16</v>
      </c>
      <c r="I172" s="5">
        <v>2</v>
      </c>
      <c r="J172" s="5">
        <v>209000</v>
      </c>
      <c r="K172" s="5">
        <v>145000</v>
      </c>
      <c r="L172" s="5">
        <v>418000</v>
      </c>
      <c r="M172" s="5">
        <v>128000</v>
      </c>
    </row>
    <row r="173" spans="1:13" x14ac:dyDescent="0.3">
      <c r="A173" s="5">
        <v>172</v>
      </c>
      <c r="B173" s="10">
        <v>46078</v>
      </c>
      <c r="C173" s="5">
        <v>108</v>
      </c>
      <c r="D173" s="4" t="s">
        <v>30</v>
      </c>
      <c r="E173" s="4" t="s">
        <v>31</v>
      </c>
      <c r="F173" s="5">
        <v>205</v>
      </c>
      <c r="G173" s="4" t="s">
        <v>23</v>
      </c>
      <c r="H173" s="4" t="s">
        <v>16</v>
      </c>
      <c r="I173" s="5">
        <v>4</v>
      </c>
      <c r="J173" s="5">
        <v>209000</v>
      </c>
      <c r="K173" s="5">
        <v>145000</v>
      </c>
      <c r="L173" s="5">
        <v>836000</v>
      </c>
      <c r="M173" s="5">
        <v>256000</v>
      </c>
    </row>
    <row r="174" spans="1:13" x14ac:dyDescent="0.3">
      <c r="A174" s="5">
        <v>173</v>
      </c>
      <c r="B174" s="10">
        <v>46078</v>
      </c>
      <c r="C174" s="5">
        <v>103</v>
      </c>
      <c r="D174" s="4" t="s">
        <v>32</v>
      </c>
      <c r="E174" s="4" t="s">
        <v>31</v>
      </c>
      <c r="F174" s="5">
        <v>205</v>
      </c>
      <c r="G174" s="4" t="s">
        <v>23</v>
      </c>
      <c r="H174" s="4" t="s">
        <v>16</v>
      </c>
      <c r="I174" s="5">
        <v>2</v>
      </c>
      <c r="J174" s="5">
        <v>209000</v>
      </c>
      <c r="K174" s="5">
        <v>145000</v>
      </c>
      <c r="L174" s="5">
        <v>418000</v>
      </c>
      <c r="M174" s="5">
        <v>128000</v>
      </c>
    </row>
    <row r="175" spans="1:13" x14ac:dyDescent="0.3">
      <c r="A175" s="5">
        <v>174</v>
      </c>
      <c r="B175" s="10">
        <v>46079</v>
      </c>
      <c r="C175" s="5">
        <v>103</v>
      </c>
      <c r="D175" s="4" t="s">
        <v>32</v>
      </c>
      <c r="E175" s="4" t="s">
        <v>31</v>
      </c>
      <c r="F175" s="5">
        <v>201</v>
      </c>
      <c r="G175" s="4" t="s">
        <v>17</v>
      </c>
      <c r="H175" s="4" t="s">
        <v>18</v>
      </c>
      <c r="I175" s="5">
        <v>5</v>
      </c>
      <c r="J175" s="5">
        <v>850000</v>
      </c>
      <c r="K175" s="5">
        <v>680000</v>
      </c>
      <c r="L175" s="5">
        <v>4250000</v>
      </c>
      <c r="M175" s="5">
        <v>850000</v>
      </c>
    </row>
    <row r="176" spans="1:13" x14ac:dyDescent="0.3">
      <c r="A176" s="5">
        <v>175</v>
      </c>
      <c r="B176" s="10">
        <v>46079</v>
      </c>
      <c r="C176" s="5">
        <v>101</v>
      </c>
      <c r="D176" s="4" t="s">
        <v>13</v>
      </c>
      <c r="E176" s="4" t="s">
        <v>14</v>
      </c>
      <c r="F176" s="5">
        <v>206</v>
      </c>
      <c r="G176" s="4" t="s">
        <v>15</v>
      </c>
      <c r="H176" s="4" t="s">
        <v>16</v>
      </c>
      <c r="I176" s="5">
        <v>3</v>
      </c>
      <c r="J176" s="5">
        <v>339500</v>
      </c>
      <c r="K176" s="5">
        <v>235000</v>
      </c>
      <c r="L176" s="5">
        <v>1018500</v>
      </c>
      <c r="M176" s="5">
        <v>313500</v>
      </c>
    </row>
    <row r="177" spans="1:13" x14ac:dyDescent="0.3">
      <c r="A177" s="5">
        <v>176</v>
      </c>
      <c r="B177" s="10">
        <v>46080</v>
      </c>
      <c r="C177" s="5">
        <v>104</v>
      </c>
      <c r="D177" s="4" t="s">
        <v>25</v>
      </c>
      <c r="E177" s="4" t="s">
        <v>14</v>
      </c>
      <c r="F177" s="5">
        <v>201</v>
      </c>
      <c r="G177" s="4" t="s">
        <v>17</v>
      </c>
      <c r="H177" s="4" t="s">
        <v>18</v>
      </c>
      <c r="I177" s="5">
        <v>4</v>
      </c>
      <c r="J177" s="5">
        <v>850000</v>
      </c>
      <c r="K177" s="5">
        <v>680000</v>
      </c>
      <c r="L177" s="5">
        <v>3400000</v>
      </c>
      <c r="M177" s="5">
        <v>680000</v>
      </c>
    </row>
    <row r="178" spans="1:13" x14ac:dyDescent="0.3">
      <c r="A178" s="5">
        <v>177</v>
      </c>
      <c r="B178" s="10">
        <v>46080</v>
      </c>
      <c r="C178" s="5">
        <v>105</v>
      </c>
      <c r="D178" s="4" t="s">
        <v>33</v>
      </c>
      <c r="E178" s="4" t="s">
        <v>34</v>
      </c>
      <c r="F178" s="5">
        <v>206</v>
      </c>
      <c r="G178" s="4" t="s">
        <v>15</v>
      </c>
      <c r="H178" s="4" t="s">
        <v>16</v>
      </c>
      <c r="I178" s="5">
        <v>5</v>
      </c>
      <c r="J178" s="5">
        <v>339500</v>
      </c>
      <c r="K178" s="5">
        <v>235000</v>
      </c>
      <c r="L178" s="5">
        <v>1697500</v>
      </c>
      <c r="M178" s="5">
        <v>522500</v>
      </c>
    </row>
    <row r="179" spans="1:13" x14ac:dyDescent="0.3">
      <c r="A179" s="5">
        <v>178</v>
      </c>
      <c r="B179" s="10">
        <v>46080</v>
      </c>
      <c r="C179" s="5">
        <v>107</v>
      </c>
      <c r="D179" s="4" t="s">
        <v>24</v>
      </c>
      <c r="E179" s="4" t="s">
        <v>14</v>
      </c>
      <c r="F179" s="5">
        <v>204</v>
      </c>
      <c r="G179" s="4" t="s">
        <v>22</v>
      </c>
      <c r="H179" s="4" t="s">
        <v>21</v>
      </c>
      <c r="I179" s="5">
        <v>3</v>
      </c>
      <c r="J179" s="5">
        <v>55000</v>
      </c>
      <c r="K179" s="5">
        <v>33000</v>
      </c>
      <c r="L179" s="5">
        <v>165000</v>
      </c>
      <c r="M179" s="5">
        <v>66000</v>
      </c>
    </row>
    <row r="180" spans="1:13" x14ac:dyDescent="0.3">
      <c r="A180" s="5">
        <v>179</v>
      </c>
      <c r="B180" s="10">
        <v>46080</v>
      </c>
      <c r="C180" s="5">
        <v>104</v>
      </c>
      <c r="D180" s="4" t="s">
        <v>25</v>
      </c>
      <c r="E180" s="4" t="s">
        <v>14</v>
      </c>
      <c r="F180" s="5">
        <v>204</v>
      </c>
      <c r="G180" s="4" t="s">
        <v>22</v>
      </c>
      <c r="H180" s="4" t="s">
        <v>21</v>
      </c>
      <c r="I180" s="5">
        <v>5</v>
      </c>
      <c r="J180" s="5">
        <v>55000</v>
      </c>
      <c r="K180" s="5">
        <v>33000</v>
      </c>
      <c r="L180" s="5">
        <v>275000</v>
      </c>
      <c r="M180" s="5">
        <v>110000</v>
      </c>
    </row>
    <row r="181" spans="1:13" x14ac:dyDescent="0.3">
      <c r="A181" s="5">
        <v>180</v>
      </c>
      <c r="B181" s="10">
        <v>46081</v>
      </c>
      <c r="C181" s="5">
        <v>107</v>
      </c>
      <c r="D181" s="4" t="s">
        <v>24</v>
      </c>
      <c r="E181" s="4" t="s">
        <v>14</v>
      </c>
      <c r="F181" s="5">
        <v>206</v>
      </c>
      <c r="G181" s="4" t="s">
        <v>15</v>
      </c>
      <c r="H181" s="4" t="s">
        <v>16</v>
      </c>
      <c r="I181" s="5">
        <v>3</v>
      </c>
      <c r="J181" s="5">
        <v>350000</v>
      </c>
      <c r="K181" s="5">
        <v>235000</v>
      </c>
      <c r="L181" s="5">
        <v>1050000</v>
      </c>
      <c r="M181" s="5">
        <v>345000</v>
      </c>
    </row>
    <row r="182" spans="1:13" x14ac:dyDescent="0.3">
      <c r="A182" s="5">
        <v>181</v>
      </c>
      <c r="B182" s="10">
        <v>46081</v>
      </c>
      <c r="C182" s="5">
        <v>103</v>
      </c>
      <c r="D182" s="4" t="s">
        <v>32</v>
      </c>
      <c r="E182" s="4" t="s">
        <v>31</v>
      </c>
      <c r="F182" s="5">
        <v>206</v>
      </c>
      <c r="G182" s="4" t="s">
        <v>15</v>
      </c>
      <c r="H182" s="4" t="s">
        <v>16</v>
      </c>
      <c r="I182" s="5">
        <v>5</v>
      </c>
      <c r="J182" s="5">
        <v>332500</v>
      </c>
      <c r="K182" s="5">
        <v>235000</v>
      </c>
      <c r="L182" s="5">
        <v>1662500</v>
      </c>
      <c r="M182" s="5">
        <v>487500</v>
      </c>
    </row>
    <row r="183" spans="1:13" x14ac:dyDescent="0.3">
      <c r="A183" s="5">
        <v>182</v>
      </c>
      <c r="B183" s="10">
        <v>46081</v>
      </c>
      <c r="C183" s="5">
        <v>101</v>
      </c>
      <c r="D183" s="4" t="s">
        <v>13</v>
      </c>
      <c r="E183" s="4" t="s">
        <v>14</v>
      </c>
      <c r="F183" s="5">
        <v>201</v>
      </c>
      <c r="G183" s="4" t="s">
        <v>17</v>
      </c>
      <c r="H183" s="4" t="s">
        <v>18</v>
      </c>
      <c r="I183" s="5">
        <v>3</v>
      </c>
      <c r="J183" s="5">
        <v>807500</v>
      </c>
      <c r="K183" s="5">
        <v>680000</v>
      </c>
      <c r="L183" s="5">
        <v>2422500</v>
      </c>
      <c r="M183" s="5">
        <v>382500</v>
      </c>
    </row>
    <row r="184" spans="1:13" x14ac:dyDescent="0.3">
      <c r="A184" s="5">
        <v>183</v>
      </c>
      <c r="B184" s="10">
        <v>46081</v>
      </c>
      <c r="C184" s="5">
        <v>101</v>
      </c>
      <c r="D184" s="4" t="s">
        <v>13</v>
      </c>
      <c r="E184" s="4" t="s">
        <v>14</v>
      </c>
      <c r="F184" s="5">
        <v>205</v>
      </c>
      <c r="G184" s="4" t="s">
        <v>23</v>
      </c>
      <c r="H184" s="4" t="s">
        <v>16</v>
      </c>
      <c r="I184" s="5">
        <v>3</v>
      </c>
      <c r="J184" s="5">
        <v>220000</v>
      </c>
      <c r="K184" s="5">
        <v>145000</v>
      </c>
      <c r="L184" s="5">
        <v>660000</v>
      </c>
      <c r="M184" s="5">
        <v>225000</v>
      </c>
    </row>
    <row r="185" spans="1:13" x14ac:dyDescent="0.3">
      <c r="A185" s="5">
        <v>184</v>
      </c>
      <c r="B185" s="10">
        <v>46082</v>
      </c>
      <c r="C185" s="5">
        <v>104</v>
      </c>
      <c r="D185" s="4" t="s">
        <v>25</v>
      </c>
      <c r="E185" s="4" t="s">
        <v>14</v>
      </c>
      <c r="F185" s="5">
        <v>205</v>
      </c>
      <c r="G185" s="4" t="s">
        <v>23</v>
      </c>
      <c r="H185" s="4" t="s">
        <v>16</v>
      </c>
      <c r="I185" s="5">
        <v>5</v>
      </c>
      <c r="J185" s="5">
        <v>213400</v>
      </c>
      <c r="K185" s="5">
        <v>145000</v>
      </c>
      <c r="L185" s="5">
        <v>1067000</v>
      </c>
      <c r="M185" s="5">
        <v>342000</v>
      </c>
    </row>
    <row r="186" spans="1:13" x14ac:dyDescent="0.3">
      <c r="A186" s="5">
        <v>185</v>
      </c>
      <c r="B186" s="10">
        <v>46082</v>
      </c>
      <c r="C186" s="5">
        <v>103</v>
      </c>
      <c r="D186" s="4" t="s">
        <v>32</v>
      </c>
      <c r="E186" s="4" t="s">
        <v>31</v>
      </c>
      <c r="F186" s="5">
        <v>206</v>
      </c>
      <c r="G186" s="4" t="s">
        <v>15</v>
      </c>
      <c r="H186" s="4" t="s">
        <v>16</v>
      </c>
      <c r="I186" s="5">
        <v>3</v>
      </c>
      <c r="J186" s="5">
        <v>339500</v>
      </c>
      <c r="K186" s="5">
        <v>235000</v>
      </c>
      <c r="L186" s="5">
        <v>1018500</v>
      </c>
      <c r="M186" s="5">
        <v>313500</v>
      </c>
    </row>
    <row r="187" spans="1:13" x14ac:dyDescent="0.3">
      <c r="A187" s="5">
        <v>186</v>
      </c>
      <c r="B187" s="10">
        <v>46083</v>
      </c>
      <c r="C187" s="5">
        <v>101</v>
      </c>
      <c r="D187" s="4" t="s">
        <v>13</v>
      </c>
      <c r="E187" s="4" t="s">
        <v>14</v>
      </c>
      <c r="F187" s="5">
        <v>202</v>
      </c>
      <c r="G187" s="4" t="s">
        <v>19</v>
      </c>
      <c r="H187" s="4" t="s">
        <v>18</v>
      </c>
      <c r="I187" s="5">
        <v>3</v>
      </c>
      <c r="J187" s="5">
        <v>257600</v>
      </c>
      <c r="K187" s="5">
        <v>210000</v>
      </c>
      <c r="L187" s="5">
        <v>772800</v>
      </c>
      <c r="M187" s="5">
        <v>142800</v>
      </c>
    </row>
    <row r="188" spans="1:13" x14ac:dyDescent="0.3">
      <c r="A188" s="5">
        <v>187</v>
      </c>
      <c r="B188" s="10">
        <v>46083</v>
      </c>
      <c r="C188" s="5">
        <v>106</v>
      </c>
      <c r="D188" s="4" t="s">
        <v>29</v>
      </c>
      <c r="E188" s="4" t="s">
        <v>28</v>
      </c>
      <c r="F188" s="5">
        <v>205</v>
      </c>
      <c r="G188" s="4" t="s">
        <v>23</v>
      </c>
      <c r="H188" s="4" t="s">
        <v>16</v>
      </c>
      <c r="I188" s="5">
        <v>3</v>
      </c>
      <c r="J188" s="5">
        <v>220000</v>
      </c>
      <c r="K188" s="5">
        <v>145000</v>
      </c>
      <c r="L188" s="5">
        <v>660000</v>
      </c>
      <c r="M188" s="5">
        <v>225000</v>
      </c>
    </row>
    <row r="189" spans="1:13" x14ac:dyDescent="0.3">
      <c r="A189" s="5">
        <v>188</v>
      </c>
      <c r="B189" s="10">
        <v>46083</v>
      </c>
      <c r="C189" s="5">
        <v>104</v>
      </c>
      <c r="D189" s="4" t="s">
        <v>25</v>
      </c>
      <c r="E189" s="4" t="s">
        <v>14</v>
      </c>
      <c r="F189" s="5">
        <v>206</v>
      </c>
      <c r="G189" s="4" t="s">
        <v>15</v>
      </c>
      <c r="H189" s="4" t="s">
        <v>16</v>
      </c>
      <c r="I189" s="5">
        <v>1</v>
      </c>
      <c r="J189" s="5">
        <v>322000</v>
      </c>
      <c r="K189" s="5">
        <v>235000</v>
      </c>
      <c r="L189" s="5">
        <v>322000</v>
      </c>
      <c r="M189" s="5">
        <v>87000</v>
      </c>
    </row>
    <row r="190" spans="1:13" x14ac:dyDescent="0.3">
      <c r="A190" s="5">
        <v>189</v>
      </c>
      <c r="B190" s="10">
        <v>46084</v>
      </c>
      <c r="C190" s="5">
        <v>103</v>
      </c>
      <c r="D190" s="4" t="s">
        <v>32</v>
      </c>
      <c r="E190" s="4" t="s">
        <v>31</v>
      </c>
      <c r="F190" s="5">
        <v>205</v>
      </c>
      <c r="G190" s="4" t="s">
        <v>23</v>
      </c>
      <c r="H190" s="4" t="s">
        <v>16</v>
      </c>
      <c r="I190" s="5">
        <v>5</v>
      </c>
      <c r="J190" s="5">
        <v>220000</v>
      </c>
      <c r="K190" s="5">
        <v>145000</v>
      </c>
      <c r="L190" s="5">
        <v>1100000</v>
      </c>
      <c r="M190" s="5">
        <v>375000</v>
      </c>
    </row>
    <row r="191" spans="1:13" x14ac:dyDescent="0.3">
      <c r="A191" s="5">
        <v>190</v>
      </c>
      <c r="B191" s="10">
        <v>46084</v>
      </c>
      <c r="C191" s="5">
        <v>101</v>
      </c>
      <c r="D191" s="4" t="s">
        <v>13</v>
      </c>
      <c r="E191" s="4" t="s">
        <v>14</v>
      </c>
      <c r="F191" s="5">
        <v>204</v>
      </c>
      <c r="G191" s="4" t="s">
        <v>22</v>
      </c>
      <c r="H191" s="4" t="s">
        <v>21</v>
      </c>
      <c r="I191" s="5">
        <v>5</v>
      </c>
      <c r="J191" s="5">
        <v>55000</v>
      </c>
      <c r="K191" s="5">
        <v>33000</v>
      </c>
      <c r="L191" s="5">
        <v>275000</v>
      </c>
      <c r="M191" s="5">
        <v>110000</v>
      </c>
    </row>
    <row r="192" spans="1:13" x14ac:dyDescent="0.3">
      <c r="A192" s="5">
        <v>191</v>
      </c>
      <c r="B192" s="10">
        <v>46084</v>
      </c>
      <c r="C192" s="5">
        <v>106</v>
      </c>
      <c r="D192" s="4" t="s">
        <v>29</v>
      </c>
      <c r="E192" s="4" t="s">
        <v>28</v>
      </c>
      <c r="F192" s="5">
        <v>201</v>
      </c>
      <c r="G192" s="4" t="s">
        <v>17</v>
      </c>
      <c r="H192" s="4" t="s">
        <v>18</v>
      </c>
      <c r="I192" s="5">
        <v>4</v>
      </c>
      <c r="J192" s="5">
        <v>807500</v>
      </c>
      <c r="K192" s="5">
        <v>680000</v>
      </c>
      <c r="L192" s="5">
        <v>3230000</v>
      </c>
      <c r="M192" s="5">
        <v>510000</v>
      </c>
    </row>
    <row r="193" spans="1:13" x14ac:dyDescent="0.3">
      <c r="A193" s="5">
        <v>192</v>
      </c>
      <c r="B193" s="10">
        <v>46084</v>
      </c>
      <c r="C193" s="5">
        <v>101</v>
      </c>
      <c r="D193" s="4" t="s">
        <v>13</v>
      </c>
      <c r="E193" s="4" t="s">
        <v>14</v>
      </c>
      <c r="F193" s="5">
        <v>205</v>
      </c>
      <c r="G193" s="4" t="s">
        <v>23</v>
      </c>
      <c r="H193" s="4" t="s">
        <v>16</v>
      </c>
      <c r="I193" s="5">
        <v>5</v>
      </c>
      <c r="J193" s="5">
        <v>202400</v>
      </c>
      <c r="K193" s="5">
        <v>145000</v>
      </c>
      <c r="L193" s="5">
        <v>1012000</v>
      </c>
      <c r="M193" s="5">
        <v>287000</v>
      </c>
    </row>
    <row r="194" spans="1:13" x14ac:dyDescent="0.3">
      <c r="A194" s="5">
        <v>193</v>
      </c>
      <c r="B194" s="10">
        <v>46085</v>
      </c>
      <c r="C194" s="5">
        <v>102</v>
      </c>
      <c r="D194" s="4" t="s">
        <v>27</v>
      </c>
      <c r="E194" s="4" t="s">
        <v>28</v>
      </c>
      <c r="F194" s="5">
        <v>202</v>
      </c>
      <c r="G194" s="4" t="s">
        <v>19</v>
      </c>
      <c r="H194" s="4" t="s">
        <v>18</v>
      </c>
      <c r="I194" s="5">
        <v>3</v>
      </c>
      <c r="J194" s="5">
        <v>280000</v>
      </c>
      <c r="K194" s="5">
        <v>210000</v>
      </c>
      <c r="L194" s="5">
        <v>840000</v>
      </c>
      <c r="M194" s="5">
        <v>210000</v>
      </c>
    </row>
    <row r="195" spans="1:13" x14ac:dyDescent="0.3">
      <c r="A195" s="5">
        <v>194</v>
      </c>
      <c r="B195" s="10">
        <v>46085</v>
      </c>
      <c r="C195" s="5">
        <v>107</v>
      </c>
      <c r="D195" s="4" t="s">
        <v>24</v>
      </c>
      <c r="E195" s="4" t="s">
        <v>14</v>
      </c>
      <c r="F195" s="5">
        <v>205</v>
      </c>
      <c r="G195" s="4" t="s">
        <v>23</v>
      </c>
      <c r="H195" s="4" t="s">
        <v>16</v>
      </c>
      <c r="I195" s="5">
        <v>5</v>
      </c>
      <c r="J195" s="5">
        <v>220000</v>
      </c>
      <c r="K195" s="5">
        <v>145000</v>
      </c>
      <c r="L195" s="5">
        <v>1100000</v>
      </c>
      <c r="M195" s="5">
        <v>375000</v>
      </c>
    </row>
    <row r="196" spans="1:13" x14ac:dyDescent="0.3">
      <c r="A196" s="5">
        <v>195</v>
      </c>
      <c r="B196" s="10">
        <v>46086</v>
      </c>
      <c r="C196" s="5">
        <v>108</v>
      </c>
      <c r="D196" s="4" t="s">
        <v>30</v>
      </c>
      <c r="E196" s="4" t="s">
        <v>31</v>
      </c>
      <c r="F196" s="5">
        <v>202</v>
      </c>
      <c r="G196" s="4" t="s">
        <v>19</v>
      </c>
      <c r="H196" s="4" t="s">
        <v>18</v>
      </c>
      <c r="I196" s="5">
        <v>4</v>
      </c>
      <c r="J196" s="5">
        <v>257600</v>
      </c>
      <c r="K196" s="5">
        <v>210000</v>
      </c>
      <c r="L196" s="5">
        <v>1030400</v>
      </c>
      <c r="M196" s="5">
        <v>190400</v>
      </c>
    </row>
    <row r="197" spans="1:13" x14ac:dyDescent="0.3">
      <c r="A197" s="5">
        <v>196</v>
      </c>
      <c r="B197" s="10">
        <v>46086</v>
      </c>
      <c r="C197" s="5">
        <v>101</v>
      </c>
      <c r="D197" s="4" t="s">
        <v>13</v>
      </c>
      <c r="E197" s="4" t="s">
        <v>14</v>
      </c>
      <c r="F197" s="5">
        <v>201</v>
      </c>
      <c r="G197" s="4" t="s">
        <v>17</v>
      </c>
      <c r="H197" s="4" t="s">
        <v>18</v>
      </c>
      <c r="I197" s="5">
        <v>1</v>
      </c>
      <c r="J197" s="5">
        <v>850000</v>
      </c>
      <c r="K197" s="5">
        <v>680000</v>
      </c>
      <c r="L197" s="5">
        <v>850000</v>
      </c>
      <c r="M197" s="5">
        <v>170000</v>
      </c>
    </row>
    <row r="198" spans="1:13" x14ac:dyDescent="0.3">
      <c r="A198" s="5">
        <v>197</v>
      </c>
      <c r="B198" s="10">
        <v>46087</v>
      </c>
      <c r="C198" s="5">
        <v>107</v>
      </c>
      <c r="D198" s="4" t="s">
        <v>24</v>
      </c>
      <c r="E198" s="4" t="s">
        <v>14</v>
      </c>
      <c r="F198" s="5">
        <v>204</v>
      </c>
      <c r="G198" s="4" t="s">
        <v>22</v>
      </c>
      <c r="H198" s="4" t="s">
        <v>21</v>
      </c>
      <c r="I198" s="5">
        <v>5</v>
      </c>
      <c r="J198" s="5">
        <v>50600</v>
      </c>
      <c r="K198" s="5">
        <v>33000</v>
      </c>
      <c r="L198" s="5">
        <v>253000</v>
      </c>
      <c r="M198" s="5">
        <v>88000</v>
      </c>
    </row>
    <row r="199" spans="1:13" x14ac:dyDescent="0.3">
      <c r="A199" s="5">
        <v>198</v>
      </c>
      <c r="B199" s="10">
        <v>46087</v>
      </c>
      <c r="C199" s="5">
        <v>108</v>
      </c>
      <c r="D199" s="4" t="s">
        <v>30</v>
      </c>
      <c r="E199" s="4" t="s">
        <v>31</v>
      </c>
      <c r="F199" s="5">
        <v>202</v>
      </c>
      <c r="G199" s="4" t="s">
        <v>19</v>
      </c>
      <c r="H199" s="4" t="s">
        <v>18</v>
      </c>
      <c r="I199" s="5">
        <v>2</v>
      </c>
      <c r="J199" s="5">
        <v>257600</v>
      </c>
      <c r="K199" s="5">
        <v>210000</v>
      </c>
      <c r="L199" s="5">
        <v>515200</v>
      </c>
      <c r="M199" s="5">
        <v>95200</v>
      </c>
    </row>
    <row r="200" spans="1:13" x14ac:dyDescent="0.3">
      <c r="A200" s="5">
        <v>199</v>
      </c>
      <c r="B200" s="10">
        <v>46088</v>
      </c>
      <c r="C200" s="5">
        <v>101</v>
      </c>
      <c r="D200" s="4" t="s">
        <v>13</v>
      </c>
      <c r="E200" s="4" t="s">
        <v>14</v>
      </c>
      <c r="F200" s="5">
        <v>205</v>
      </c>
      <c r="G200" s="4" t="s">
        <v>23</v>
      </c>
      <c r="H200" s="4" t="s">
        <v>16</v>
      </c>
      <c r="I200" s="5">
        <v>5</v>
      </c>
      <c r="J200" s="5">
        <v>202400</v>
      </c>
      <c r="K200" s="5">
        <v>145000</v>
      </c>
      <c r="L200" s="5">
        <v>1012000</v>
      </c>
      <c r="M200" s="5">
        <v>287000</v>
      </c>
    </row>
    <row r="201" spans="1:13" x14ac:dyDescent="0.3">
      <c r="A201" s="5">
        <v>200</v>
      </c>
      <c r="B201" s="10">
        <v>46088</v>
      </c>
      <c r="C201" s="5">
        <v>108</v>
      </c>
      <c r="D201" s="4" t="s">
        <v>30</v>
      </c>
      <c r="E201" s="4" t="s">
        <v>31</v>
      </c>
      <c r="F201" s="5">
        <v>201</v>
      </c>
      <c r="G201" s="4" t="s">
        <v>17</v>
      </c>
      <c r="H201" s="4" t="s">
        <v>18</v>
      </c>
      <c r="I201" s="5">
        <v>4</v>
      </c>
      <c r="J201" s="5">
        <v>782000</v>
      </c>
      <c r="K201" s="5">
        <v>680000</v>
      </c>
      <c r="L201" s="5">
        <v>3128000</v>
      </c>
      <c r="M201" s="5">
        <v>408000</v>
      </c>
    </row>
    <row r="202" spans="1:13" x14ac:dyDescent="0.3">
      <c r="A202" s="5">
        <v>201</v>
      </c>
      <c r="B202" s="10">
        <v>46089</v>
      </c>
      <c r="C202" s="5">
        <v>107</v>
      </c>
      <c r="D202" s="4" t="s">
        <v>24</v>
      </c>
      <c r="E202" s="4" t="s">
        <v>14</v>
      </c>
      <c r="F202" s="5">
        <v>206</v>
      </c>
      <c r="G202" s="4" t="s">
        <v>15</v>
      </c>
      <c r="H202" s="4" t="s">
        <v>16</v>
      </c>
      <c r="I202" s="5">
        <v>3</v>
      </c>
      <c r="J202" s="5">
        <v>350000</v>
      </c>
      <c r="K202" s="5">
        <v>235000</v>
      </c>
      <c r="L202" s="5">
        <v>1050000</v>
      </c>
      <c r="M202" s="5">
        <v>345000</v>
      </c>
    </row>
    <row r="203" spans="1:13" x14ac:dyDescent="0.3">
      <c r="A203" s="5">
        <v>202</v>
      </c>
      <c r="B203" s="10">
        <v>46089</v>
      </c>
      <c r="C203" s="5">
        <v>104</v>
      </c>
      <c r="D203" s="4" t="s">
        <v>25</v>
      </c>
      <c r="E203" s="4" t="s">
        <v>14</v>
      </c>
      <c r="F203" s="5">
        <v>202</v>
      </c>
      <c r="G203" s="4" t="s">
        <v>19</v>
      </c>
      <c r="H203" s="4" t="s">
        <v>18</v>
      </c>
      <c r="I203" s="5">
        <v>1</v>
      </c>
      <c r="J203" s="5">
        <v>280000</v>
      </c>
      <c r="K203" s="5">
        <v>210000</v>
      </c>
      <c r="L203" s="5">
        <v>280000</v>
      </c>
      <c r="M203" s="5">
        <v>70000</v>
      </c>
    </row>
    <row r="204" spans="1:13" x14ac:dyDescent="0.3">
      <c r="A204" s="5">
        <v>203</v>
      </c>
      <c r="B204" s="10">
        <v>46089</v>
      </c>
      <c r="C204" s="5">
        <v>106</v>
      </c>
      <c r="D204" s="4" t="s">
        <v>29</v>
      </c>
      <c r="E204" s="4" t="s">
        <v>28</v>
      </c>
      <c r="F204" s="5">
        <v>204</v>
      </c>
      <c r="G204" s="4" t="s">
        <v>22</v>
      </c>
      <c r="H204" s="4" t="s">
        <v>21</v>
      </c>
      <c r="I204" s="5">
        <v>3</v>
      </c>
      <c r="J204" s="5">
        <v>52250</v>
      </c>
      <c r="K204" s="5">
        <v>33000</v>
      </c>
      <c r="L204" s="5">
        <v>156750</v>
      </c>
      <c r="M204" s="5">
        <v>57750</v>
      </c>
    </row>
    <row r="205" spans="1:13" x14ac:dyDescent="0.3">
      <c r="A205" s="5">
        <v>204</v>
      </c>
      <c r="B205" s="10">
        <v>46089</v>
      </c>
      <c r="C205" s="5">
        <v>105</v>
      </c>
      <c r="D205" s="4" t="s">
        <v>33</v>
      </c>
      <c r="E205" s="4" t="s">
        <v>34</v>
      </c>
      <c r="F205" s="5">
        <v>204</v>
      </c>
      <c r="G205" s="4" t="s">
        <v>22</v>
      </c>
      <c r="H205" s="4" t="s">
        <v>21</v>
      </c>
      <c r="I205" s="5">
        <v>1</v>
      </c>
      <c r="J205" s="5">
        <v>50600</v>
      </c>
      <c r="K205" s="5">
        <v>33000</v>
      </c>
      <c r="L205" s="5">
        <v>50600</v>
      </c>
      <c r="M205" s="5">
        <v>17600</v>
      </c>
    </row>
    <row r="206" spans="1:13" x14ac:dyDescent="0.3">
      <c r="A206" s="5">
        <v>205</v>
      </c>
      <c r="B206" s="10">
        <v>46090</v>
      </c>
      <c r="C206" s="5">
        <v>102</v>
      </c>
      <c r="D206" s="4" t="s">
        <v>27</v>
      </c>
      <c r="E206" s="4" t="s">
        <v>28</v>
      </c>
      <c r="F206" s="5">
        <v>205</v>
      </c>
      <c r="G206" s="4" t="s">
        <v>23</v>
      </c>
      <c r="H206" s="4" t="s">
        <v>16</v>
      </c>
      <c r="I206" s="5">
        <v>4</v>
      </c>
      <c r="J206" s="5">
        <v>220000</v>
      </c>
      <c r="K206" s="5">
        <v>145000</v>
      </c>
      <c r="L206" s="5">
        <v>880000</v>
      </c>
      <c r="M206" s="5">
        <v>300000</v>
      </c>
    </row>
    <row r="207" spans="1:13" x14ac:dyDescent="0.3">
      <c r="A207" s="5">
        <v>206</v>
      </c>
      <c r="B207" s="10">
        <v>46090</v>
      </c>
      <c r="C207" s="5">
        <v>102</v>
      </c>
      <c r="D207" s="4" t="s">
        <v>27</v>
      </c>
      <c r="E207" s="4" t="s">
        <v>28</v>
      </c>
      <c r="F207" s="5">
        <v>201</v>
      </c>
      <c r="G207" s="4" t="s">
        <v>17</v>
      </c>
      <c r="H207" s="4" t="s">
        <v>18</v>
      </c>
      <c r="I207" s="5">
        <v>2</v>
      </c>
      <c r="J207" s="5">
        <v>850000</v>
      </c>
      <c r="K207" s="5">
        <v>680000</v>
      </c>
      <c r="L207" s="5">
        <v>1700000</v>
      </c>
      <c r="M207" s="5">
        <v>340000</v>
      </c>
    </row>
    <row r="208" spans="1:13" x14ac:dyDescent="0.3">
      <c r="A208" s="5">
        <v>207</v>
      </c>
      <c r="B208" s="10">
        <v>46090</v>
      </c>
      <c r="C208" s="5">
        <v>106</v>
      </c>
      <c r="D208" s="4" t="s">
        <v>29</v>
      </c>
      <c r="E208" s="4" t="s">
        <v>28</v>
      </c>
      <c r="F208" s="5">
        <v>204</v>
      </c>
      <c r="G208" s="4" t="s">
        <v>22</v>
      </c>
      <c r="H208" s="4" t="s">
        <v>21</v>
      </c>
      <c r="I208" s="5">
        <v>5</v>
      </c>
      <c r="J208" s="5">
        <v>52250</v>
      </c>
      <c r="K208" s="5">
        <v>33000</v>
      </c>
      <c r="L208" s="5">
        <v>261250</v>
      </c>
      <c r="M208" s="5">
        <v>96250</v>
      </c>
    </row>
    <row r="209" spans="1:13" x14ac:dyDescent="0.3">
      <c r="A209" s="5">
        <v>208</v>
      </c>
      <c r="B209" s="10">
        <v>46091</v>
      </c>
      <c r="C209" s="5">
        <v>105</v>
      </c>
      <c r="D209" s="4" t="s">
        <v>33</v>
      </c>
      <c r="E209" s="4" t="s">
        <v>34</v>
      </c>
      <c r="F209" s="5">
        <v>201</v>
      </c>
      <c r="G209" s="4" t="s">
        <v>17</v>
      </c>
      <c r="H209" s="4" t="s">
        <v>18</v>
      </c>
      <c r="I209" s="5">
        <v>1</v>
      </c>
      <c r="J209" s="5">
        <v>807500</v>
      </c>
      <c r="K209" s="5">
        <v>680000</v>
      </c>
      <c r="L209" s="5">
        <v>807500</v>
      </c>
      <c r="M209" s="5">
        <v>127500</v>
      </c>
    </row>
    <row r="210" spans="1:13" x14ac:dyDescent="0.3">
      <c r="A210" s="5">
        <v>209</v>
      </c>
      <c r="B210" s="10">
        <v>46091</v>
      </c>
      <c r="C210" s="5">
        <v>101</v>
      </c>
      <c r="D210" s="4" t="s">
        <v>13</v>
      </c>
      <c r="E210" s="4" t="s">
        <v>14</v>
      </c>
      <c r="F210" s="5">
        <v>201</v>
      </c>
      <c r="G210" s="4" t="s">
        <v>17</v>
      </c>
      <c r="H210" s="4" t="s">
        <v>18</v>
      </c>
      <c r="I210" s="5">
        <v>2</v>
      </c>
      <c r="J210" s="5">
        <v>782000</v>
      </c>
      <c r="K210" s="5">
        <v>680000</v>
      </c>
      <c r="L210" s="5">
        <v>1564000</v>
      </c>
      <c r="M210" s="5">
        <v>204000</v>
      </c>
    </row>
    <row r="211" spans="1:13" x14ac:dyDescent="0.3">
      <c r="A211" s="5">
        <v>210</v>
      </c>
      <c r="B211" s="10">
        <v>46091</v>
      </c>
      <c r="C211" s="5">
        <v>104</v>
      </c>
      <c r="D211" s="4" t="s">
        <v>25</v>
      </c>
      <c r="E211" s="4" t="s">
        <v>14</v>
      </c>
      <c r="F211" s="5">
        <v>205</v>
      </c>
      <c r="G211" s="4" t="s">
        <v>23</v>
      </c>
      <c r="H211" s="4" t="s">
        <v>16</v>
      </c>
      <c r="I211" s="5">
        <v>3</v>
      </c>
      <c r="J211" s="5">
        <v>220000</v>
      </c>
      <c r="K211" s="5">
        <v>145000</v>
      </c>
      <c r="L211" s="5">
        <v>660000</v>
      </c>
      <c r="M211" s="5">
        <v>225000</v>
      </c>
    </row>
    <row r="212" spans="1:13" x14ac:dyDescent="0.3">
      <c r="A212" s="5">
        <v>211</v>
      </c>
      <c r="B212" s="10">
        <v>46092</v>
      </c>
      <c r="C212" s="5">
        <v>101</v>
      </c>
      <c r="D212" s="4" t="s">
        <v>13</v>
      </c>
      <c r="E212" s="4" t="s">
        <v>14</v>
      </c>
      <c r="F212" s="5">
        <v>205</v>
      </c>
      <c r="G212" s="4" t="s">
        <v>23</v>
      </c>
      <c r="H212" s="4" t="s">
        <v>16</v>
      </c>
      <c r="I212" s="5">
        <v>1</v>
      </c>
      <c r="J212" s="5">
        <v>213400</v>
      </c>
      <c r="K212" s="5">
        <v>145000</v>
      </c>
      <c r="L212" s="5">
        <v>213400</v>
      </c>
      <c r="M212" s="5">
        <v>68400</v>
      </c>
    </row>
    <row r="213" spans="1:13" x14ac:dyDescent="0.3">
      <c r="A213" s="5">
        <v>212</v>
      </c>
      <c r="B213" s="10">
        <v>46092</v>
      </c>
      <c r="C213" s="5">
        <v>108</v>
      </c>
      <c r="D213" s="4" t="s">
        <v>30</v>
      </c>
      <c r="E213" s="4" t="s">
        <v>31</v>
      </c>
      <c r="F213" s="5">
        <v>204</v>
      </c>
      <c r="G213" s="4" t="s">
        <v>22</v>
      </c>
      <c r="H213" s="4" t="s">
        <v>21</v>
      </c>
      <c r="I213" s="5">
        <v>3</v>
      </c>
      <c r="J213" s="5">
        <v>52250</v>
      </c>
      <c r="K213" s="5">
        <v>33000</v>
      </c>
      <c r="L213" s="5">
        <v>156750</v>
      </c>
      <c r="M213" s="5">
        <v>57750</v>
      </c>
    </row>
    <row r="214" spans="1:13" x14ac:dyDescent="0.3">
      <c r="A214" s="5">
        <v>213</v>
      </c>
      <c r="B214" s="10">
        <v>46092</v>
      </c>
      <c r="C214" s="5">
        <v>107</v>
      </c>
      <c r="D214" s="4" t="s">
        <v>24</v>
      </c>
      <c r="E214" s="4" t="s">
        <v>14</v>
      </c>
      <c r="F214" s="5">
        <v>202</v>
      </c>
      <c r="G214" s="4" t="s">
        <v>19</v>
      </c>
      <c r="H214" s="4" t="s">
        <v>18</v>
      </c>
      <c r="I214" s="5">
        <v>4</v>
      </c>
      <c r="J214" s="5">
        <v>257600</v>
      </c>
      <c r="K214" s="5">
        <v>210000</v>
      </c>
      <c r="L214" s="5">
        <v>1030400</v>
      </c>
      <c r="M214" s="5">
        <v>190400</v>
      </c>
    </row>
    <row r="215" spans="1:13" x14ac:dyDescent="0.3">
      <c r="A215" s="5">
        <v>214</v>
      </c>
      <c r="B215" s="10">
        <v>46093</v>
      </c>
      <c r="C215" s="5">
        <v>104</v>
      </c>
      <c r="D215" s="4" t="s">
        <v>25</v>
      </c>
      <c r="E215" s="4" t="s">
        <v>14</v>
      </c>
      <c r="F215" s="5">
        <v>201</v>
      </c>
      <c r="G215" s="4" t="s">
        <v>17</v>
      </c>
      <c r="H215" s="4" t="s">
        <v>18</v>
      </c>
      <c r="I215" s="5">
        <v>2</v>
      </c>
      <c r="J215" s="5">
        <v>782000</v>
      </c>
      <c r="K215" s="5">
        <v>680000</v>
      </c>
      <c r="L215" s="5">
        <v>1564000</v>
      </c>
      <c r="M215" s="5">
        <v>204000</v>
      </c>
    </row>
    <row r="216" spans="1:13" x14ac:dyDescent="0.3">
      <c r="A216" s="5">
        <v>215</v>
      </c>
      <c r="B216" s="10">
        <v>46093</v>
      </c>
      <c r="C216" s="5">
        <v>105</v>
      </c>
      <c r="D216" s="4" t="s">
        <v>33</v>
      </c>
      <c r="E216" s="4" t="s">
        <v>34</v>
      </c>
      <c r="F216" s="5">
        <v>202</v>
      </c>
      <c r="G216" s="4" t="s">
        <v>19</v>
      </c>
      <c r="H216" s="4" t="s">
        <v>18</v>
      </c>
      <c r="I216" s="5">
        <v>3</v>
      </c>
      <c r="J216" s="5">
        <v>266000</v>
      </c>
      <c r="K216" s="5">
        <v>210000</v>
      </c>
      <c r="L216" s="5">
        <v>798000</v>
      </c>
      <c r="M216" s="5">
        <v>168000</v>
      </c>
    </row>
    <row r="217" spans="1:13" x14ac:dyDescent="0.3">
      <c r="A217" s="5">
        <v>216</v>
      </c>
      <c r="B217" s="10">
        <v>46093</v>
      </c>
      <c r="C217" s="5">
        <v>105</v>
      </c>
      <c r="D217" s="4" t="s">
        <v>33</v>
      </c>
      <c r="E217" s="4" t="s">
        <v>34</v>
      </c>
      <c r="F217" s="5">
        <v>205</v>
      </c>
      <c r="G217" s="4" t="s">
        <v>23</v>
      </c>
      <c r="H217" s="4" t="s">
        <v>16</v>
      </c>
      <c r="I217" s="5">
        <v>2</v>
      </c>
      <c r="J217" s="5">
        <v>209000</v>
      </c>
      <c r="K217" s="5">
        <v>145000</v>
      </c>
      <c r="L217" s="5">
        <v>418000</v>
      </c>
      <c r="M217" s="5">
        <v>128000</v>
      </c>
    </row>
    <row r="218" spans="1:13" x14ac:dyDescent="0.3">
      <c r="A218" s="5">
        <v>217</v>
      </c>
      <c r="B218" s="10">
        <v>46094</v>
      </c>
      <c r="C218" s="5">
        <v>108</v>
      </c>
      <c r="D218" s="4" t="s">
        <v>30</v>
      </c>
      <c r="E218" s="4" t="s">
        <v>31</v>
      </c>
      <c r="F218" s="5">
        <v>201</v>
      </c>
      <c r="G218" s="4" t="s">
        <v>17</v>
      </c>
      <c r="H218" s="4" t="s">
        <v>18</v>
      </c>
      <c r="I218" s="5">
        <v>1</v>
      </c>
      <c r="J218" s="5">
        <v>824500</v>
      </c>
      <c r="K218" s="5">
        <v>680000</v>
      </c>
      <c r="L218" s="5">
        <v>824500</v>
      </c>
      <c r="M218" s="5">
        <v>144500</v>
      </c>
    </row>
    <row r="219" spans="1:13" x14ac:dyDescent="0.3">
      <c r="A219" s="5">
        <v>218</v>
      </c>
      <c r="B219" s="10">
        <v>46094</v>
      </c>
      <c r="C219" s="5">
        <v>105</v>
      </c>
      <c r="D219" s="4" t="s">
        <v>33</v>
      </c>
      <c r="E219" s="4" t="s">
        <v>34</v>
      </c>
      <c r="F219" s="5">
        <v>205</v>
      </c>
      <c r="G219" s="4" t="s">
        <v>23</v>
      </c>
      <c r="H219" s="4" t="s">
        <v>16</v>
      </c>
      <c r="I219" s="5">
        <v>3</v>
      </c>
      <c r="J219" s="5">
        <v>202400</v>
      </c>
      <c r="K219" s="5">
        <v>145000</v>
      </c>
      <c r="L219" s="5">
        <v>607200</v>
      </c>
      <c r="M219" s="5">
        <v>172200</v>
      </c>
    </row>
    <row r="220" spans="1:13" x14ac:dyDescent="0.3">
      <c r="A220" s="5">
        <v>219</v>
      </c>
      <c r="B220" s="10">
        <v>46094</v>
      </c>
      <c r="C220" s="5">
        <v>104</v>
      </c>
      <c r="D220" s="4" t="s">
        <v>25</v>
      </c>
      <c r="E220" s="4" t="s">
        <v>14</v>
      </c>
      <c r="F220" s="5">
        <v>201</v>
      </c>
      <c r="G220" s="4" t="s">
        <v>17</v>
      </c>
      <c r="H220" s="4" t="s">
        <v>18</v>
      </c>
      <c r="I220" s="5">
        <v>1</v>
      </c>
      <c r="J220" s="5">
        <v>782000</v>
      </c>
      <c r="K220" s="5">
        <v>680000</v>
      </c>
      <c r="L220" s="5">
        <v>782000</v>
      </c>
      <c r="M220" s="5">
        <v>102000</v>
      </c>
    </row>
    <row r="221" spans="1:13" x14ac:dyDescent="0.3">
      <c r="A221" s="5">
        <v>220</v>
      </c>
      <c r="B221" s="10">
        <v>46095</v>
      </c>
      <c r="C221" s="5">
        <v>108</v>
      </c>
      <c r="D221" s="4" t="s">
        <v>30</v>
      </c>
      <c r="E221" s="4" t="s">
        <v>31</v>
      </c>
      <c r="F221" s="5">
        <v>202</v>
      </c>
      <c r="G221" s="4" t="s">
        <v>19</v>
      </c>
      <c r="H221" s="4" t="s">
        <v>18</v>
      </c>
      <c r="I221" s="5">
        <v>1</v>
      </c>
      <c r="J221" s="5">
        <v>271600</v>
      </c>
      <c r="K221" s="5">
        <v>210000</v>
      </c>
      <c r="L221" s="5">
        <v>271600</v>
      </c>
      <c r="M221" s="5">
        <v>61600</v>
      </c>
    </row>
    <row r="222" spans="1:13" x14ac:dyDescent="0.3">
      <c r="A222" s="5">
        <v>221</v>
      </c>
      <c r="B222" s="10">
        <v>46095</v>
      </c>
      <c r="C222" s="5">
        <v>105</v>
      </c>
      <c r="D222" s="4" t="s">
        <v>33</v>
      </c>
      <c r="E222" s="4" t="s">
        <v>34</v>
      </c>
      <c r="F222" s="5">
        <v>203</v>
      </c>
      <c r="G222" s="4" t="s">
        <v>20</v>
      </c>
      <c r="H222" s="4" t="s">
        <v>21</v>
      </c>
      <c r="I222" s="5">
        <v>4</v>
      </c>
      <c r="J222" s="5">
        <v>90250</v>
      </c>
      <c r="K222" s="5">
        <v>62000</v>
      </c>
      <c r="L222" s="5">
        <v>361000</v>
      </c>
      <c r="M222" s="5">
        <v>113000</v>
      </c>
    </row>
    <row r="223" spans="1:13" x14ac:dyDescent="0.3">
      <c r="A223" s="5">
        <v>222</v>
      </c>
      <c r="B223" s="10">
        <v>46096</v>
      </c>
      <c r="C223" s="5">
        <v>106</v>
      </c>
      <c r="D223" s="4" t="s">
        <v>29</v>
      </c>
      <c r="E223" s="4" t="s">
        <v>28</v>
      </c>
      <c r="F223" s="5">
        <v>206</v>
      </c>
      <c r="G223" s="4" t="s">
        <v>15</v>
      </c>
      <c r="H223" s="4" t="s">
        <v>16</v>
      </c>
      <c r="I223" s="5">
        <v>3</v>
      </c>
      <c r="J223" s="5">
        <v>350000</v>
      </c>
      <c r="K223" s="5">
        <v>235000</v>
      </c>
      <c r="L223" s="5">
        <v>1050000</v>
      </c>
      <c r="M223" s="5">
        <v>345000</v>
      </c>
    </row>
    <row r="224" spans="1:13" x14ac:dyDescent="0.3">
      <c r="A224" s="5">
        <v>223</v>
      </c>
      <c r="B224" s="10">
        <v>46096</v>
      </c>
      <c r="C224" s="5">
        <v>104</v>
      </c>
      <c r="D224" s="4" t="s">
        <v>25</v>
      </c>
      <c r="E224" s="4" t="s">
        <v>14</v>
      </c>
      <c r="F224" s="5">
        <v>206</v>
      </c>
      <c r="G224" s="4" t="s">
        <v>15</v>
      </c>
      <c r="H224" s="4" t="s">
        <v>16</v>
      </c>
      <c r="I224" s="5">
        <v>2</v>
      </c>
      <c r="J224" s="5">
        <v>322000</v>
      </c>
      <c r="K224" s="5">
        <v>235000</v>
      </c>
      <c r="L224" s="5">
        <v>644000</v>
      </c>
      <c r="M224" s="5">
        <v>174000</v>
      </c>
    </row>
    <row r="225" spans="1:13" x14ac:dyDescent="0.3">
      <c r="A225" s="5">
        <v>224</v>
      </c>
      <c r="B225" s="10">
        <v>46096</v>
      </c>
      <c r="C225" s="5">
        <v>105</v>
      </c>
      <c r="D225" s="4" t="s">
        <v>33</v>
      </c>
      <c r="E225" s="4" t="s">
        <v>34</v>
      </c>
      <c r="F225" s="5">
        <v>204</v>
      </c>
      <c r="G225" s="4" t="s">
        <v>22</v>
      </c>
      <c r="H225" s="4" t="s">
        <v>21</v>
      </c>
      <c r="I225" s="5">
        <v>2</v>
      </c>
      <c r="J225" s="5">
        <v>50600</v>
      </c>
      <c r="K225" s="5">
        <v>33000</v>
      </c>
      <c r="L225" s="5">
        <v>101200</v>
      </c>
      <c r="M225" s="5">
        <v>35200</v>
      </c>
    </row>
    <row r="226" spans="1:13" x14ac:dyDescent="0.3">
      <c r="A226" s="5">
        <v>225</v>
      </c>
      <c r="B226" s="10">
        <v>46097</v>
      </c>
      <c r="C226" s="5">
        <v>103</v>
      </c>
      <c r="D226" s="4" t="s">
        <v>32</v>
      </c>
      <c r="E226" s="4" t="s">
        <v>31</v>
      </c>
      <c r="F226" s="5">
        <v>203</v>
      </c>
      <c r="G226" s="4" t="s">
        <v>20</v>
      </c>
      <c r="H226" s="4" t="s">
        <v>21</v>
      </c>
      <c r="I226" s="5">
        <v>3</v>
      </c>
      <c r="J226" s="5">
        <v>92150</v>
      </c>
      <c r="K226" s="5">
        <v>62000</v>
      </c>
      <c r="L226" s="5">
        <v>276450</v>
      </c>
      <c r="M226" s="5">
        <v>90450</v>
      </c>
    </row>
    <row r="227" spans="1:13" x14ac:dyDescent="0.3">
      <c r="A227" s="5">
        <v>226</v>
      </c>
      <c r="B227" s="10">
        <v>46097</v>
      </c>
      <c r="C227" s="5">
        <v>102</v>
      </c>
      <c r="D227" s="4" t="s">
        <v>27</v>
      </c>
      <c r="E227" s="4" t="s">
        <v>28</v>
      </c>
      <c r="F227" s="5">
        <v>202</v>
      </c>
      <c r="G227" s="4" t="s">
        <v>19</v>
      </c>
      <c r="H227" s="4" t="s">
        <v>18</v>
      </c>
      <c r="I227" s="5">
        <v>1</v>
      </c>
      <c r="J227" s="5">
        <v>266000</v>
      </c>
      <c r="K227" s="5">
        <v>210000</v>
      </c>
      <c r="L227" s="5">
        <v>266000</v>
      </c>
      <c r="M227" s="5">
        <v>56000</v>
      </c>
    </row>
    <row r="228" spans="1:13" x14ac:dyDescent="0.3">
      <c r="A228" s="5">
        <v>227</v>
      </c>
      <c r="B228" s="10">
        <v>46098</v>
      </c>
      <c r="C228" s="5">
        <v>105</v>
      </c>
      <c r="D228" s="4" t="s">
        <v>33</v>
      </c>
      <c r="E228" s="4" t="s">
        <v>34</v>
      </c>
      <c r="F228" s="5">
        <v>204</v>
      </c>
      <c r="G228" s="4" t="s">
        <v>22</v>
      </c>
      <c r="H228" s="4" t="s">
        <v>21</v>
      </c>
      <c r="I228" s="5">
        <v>4</v>
      </c>
      <c r="J228" s="5">
        <v>52250</v>
      </c>
      <c r="K228" s="5">
        <v>33000</v>
      </c>
      <c r="L228" s="5">
        <v>209000</v>
      </c>
      <c r="M228" s="5">
        <v>77000</v>
      </c>
    </row>
    <row r="229" spans="1:13" x14ac:dyDescent="0.3">
      <c r="A229" s="5">
        <v>228</v>
      </c>
      <c r="B229" s="10">
        <v>46098</v>
      </c>
      <c r="C229" s="5">
        <v>106</v>
      </c>
      <c r="D229" s="4" t="s">
        <v>29</v>
      </c>
      <c r="E229" s="4" t="s">
        <v>28</v>
      </c>
      <c r="F229" s="5">
        <v>204</v>
      </c>
      <c r="G229" s="4" t="s">
        <v>22</v>
      </c>
      <c r="H229" s="4" t="s">
        <v>21</v>
      </c>
      <c r="I229" s="5">
        <v>4</v>
      </c>
      <c r="J229" s="5">
        <v>52250</v>
      </c>
      <c r="K229" s="5">
        <v>33000</v>
      </c>
      <c r="L229" s="5">
        <v>209000</v>
      </c>
      <c r="M229" s="5">
        <v>77000</v>
      </c>
    </row>
    <row r="230" spans="1:13" x14ac:dyDescent="0.3">
      <c r="A230" s="5">
        <v>229</v>
      </c>
      <c r="B230" s="10">
        <v>46098</v>
      </c>
      <c r="C230" s="5">
        <v>103</v>
      </c>
      <c r="D230" s="4" t="s">
        <v>32</v>
      </c>
      <c r="E230" s="4" t="s">
        <v>31</v>
      </c>
      <c r="F230" s="5">
        <v>202</v>
      </c>
      <c r="G230" s="4" t="s">
        <v>19</v>
      </c>
      <c r="H230" s="4" t="s">
        <v>18</v>
      </c>
      <c r="I230" s="5">
        <v>4</v>
      </c>
      <c r="J230" s="5">
        <v>271600</v>
      </c>
      <c r="K230" s="5">
        <v>210000</v>
      </c>
      <c r="L230" s="5">
        <v>1086400</v>
      </c>
      <c r="M230" s="5">
        <v>246400</v>
      </c>
    </row>
    <row r="231" spans="1:13" x14ac:dyDescent="0.3">
      <c r="A231" s="5">
        <v>230</v>
      </c>
      <c r="B231" s="10">
        <v>46099</v>
      </c>
      <c r="C231" s="5">
        <v>102</v>
      </c>
      <c r="D231" s="4" t="s">
        <v>27</v>
      </c>
      <c r="E231" s="4" t="s">
        <v>28</v>
      </c>
      <c r="F231" s="5">
        <v>203</v>
      </c>
      <c r="G231" s="4" t="s">
        <v>20</v>
      </c>
      <c r="H231" s="4" t="s">
        <v>21</v>
      </c>
      <c r="I231" s="5">
        <v>3</v>
      </c>
      <c r="J231" s="5">
        <v>90250</v>
      </c>
      <c r="K231" s="5">
        <v>62000</v>
      </c>
      <c r="L231" s="5">
        <v>270750</v>
      </c>
      <c r="M231" s="5">
        <v>84750</v>
      </c>
    </row>
    <row r="232" spans="1:13" x14ac:dyDescent="0.3">
      <c r="A232" s="5">
        <v>231</v>
      </c>
      <c r="B232" s="10">
        <v>46099</v>
      </c>
      <c r="C232" s="5">
        <v>105</v>
      </c>
      <c r="D232" s="4" t="s">
        <v>33</v>
      </c>
      <c r="E232" s="4" t="s">
        <v>34</v>
      </c>
      <c r="F232" s="5">
        <v>203</v>
      </c>
      <c r="G232" s="4" t="s">
        <v>20</v>
      </c>
      <c r="H232" s="4" t="s">
        <v>21</v>
      </c>
      <c r="I232" s="5">
        <v>5</v>
      </c>
      <c r="J232" s="5">
        <v>90250</v>
      </c>
      <c r="K232" s="5">
        <v>62000</v>
      </c>
      <c r="L232" s="5">
        <v>451250</v>
      </c>
      <c r="M232" s="5">
        <v>141250</v>
      </c>
    </row>
    <row r="233" spans="1:13" x14ac:dyDescent="0.3">
      <c r="A233" s="5">
        <v>232</v>
      </c>
      <c r="B233" s="10">
        <v>46099</v>
      </c>
      <c r="C233" s="5">
        <v>107</v>
      </c>
      <c r="D233" s="4" t="s">
        <v>24</v>
      </c>
      <c r="E233" s="4" t="s">
        <v>14</v>
      </c>
      <c r="F233" s="5">
        <v>205</v>
      </c>
      <c r="G233" s="4" t="s">
        <v>23</v>
      </c>
      <c r="H233" s="4" t="s">
        <v>16</v>
      </c>
      <c r="I233" s="5">
        <v>3</v>
      </c>
      <c r="J233" s="5">
        <v>202400</v>
      </c>
      <c r="K233" s="5">
        <v>145000</v>
      </c>
      <c r="L233" s="5">
        <v>607200</v>
      </c>
      <c r="M233" s="5">
        <v>172200</v>
      </c>
    </row>
    <row r="234" spans="1:13" x14ac:dyDescent="0.3">
      <c r="A234" s="5">
        <v>233</v>
      </c>
      <c r="B234" s="10">
        <v>46100</v>
      </c>
      <c r="C234" s="5">
        <v>108</v>
      </c>
      <c r="D234" s="4" t="s">
        <v>30</v>
      </c>
      <c r="E234" s="4" t="s">
        <v>31</v>
      </c>
      <c r="F234" s="5">
        <v>206</v>
      </c>
      <c r="G234" s="4" t="s">
        <v>15</v>
      </c>
      <c r="H234" s="4" t="s">
        <v>16</v>
      </c>
      <c r="I234" s="5">
        <v>3</v>
      </c>
      <c r="J234" s="5">
        <v>332500</v>
      </c>
      <c r="K234" s="5">
        <v>235000</v>
      </c>
      <c r="L234" s="5">
        <v>997500</v>
      </c>
      <c r="M234" s="5">
        <v>292500</v>
      </c>
    </row>
    <row r="235" spans="1:13" x14ac:dyDescent="0.3">
      <c r="A235" s="5">
        <v>234</v>
      </c>
      <c r="B235" s="10">
        <v>46100</v>
      </c>
      <c r="C235" s="5">
        <v>105</v>
      </c>
      <c r="D235" s="4" t="s">
        <v>33</v>
      </c>
      <c r="E235" s="4" t="s">
        <v>34</v>
      </c>
      <c r="F235" s="5">
        <v>202</v>
      </c>
      <c r="G235" s="4" t="s">
        <v>19</v>
      </c>
      <c r="H235" s="4" t="s">
        <v>18</v>
      </c>
      <c r="I235" s="5">
        <v>4</v>
      </c>
      <c r="J235" s="5">
        <v>280000</v>
      </c>
      <c r="K235" s="5">
        <v>210000</v>
      </c>
      <c r="L235" s="5">
        <v>1120000</v>
      </c>
      <c r="M235" s="5">
        <v>280000</v>
      </c>
    </row>
    <row r="236" spans="1:13" x14ac:dyDescent="0.3">
      <c r="A236" s="5">
        <v>235</v>
      </c>
      <c r="B236" s="10">
        <v>46101</v>
      </c>
      <c r="C236" s="5">
        <v>105</v>
      </c>
      <c r="D236" s="4" t="s">
        <v>33</v>
      </c>
      <c r="E236" s="4" t="s">
        <v>34</v>
      </c>
      <c r="F236" s="5">
        <v>206</v>
      </c>
      <c r="G236" s="4" t="s">
        <v>15</v>
      </c>
      <c r="H236" s="4" t="s">
        <v>16</v>
      </c>
      <c r="I236" s="5">
        <v>2</v>
      </c>
      <c r="J236" s="5">
        <v>339500</v>
      </c>
      <c r="K236" s="5">
        <v>235000</v>
      </c>
      <c r="L236" s="5">
        <v>679000</v>
      </c>
      <c r="M236" s="5">
        <v>209000</v>
      </c>
    </row>
    <row r="237" spans="1:13" x14ac:dyDescent="0.3">
      <c r="A237" s="5">
        <v>236</v>
      </c>
      <c r="B237" s="10">
        <v>46101</v>
      </c>
      <c r="C237" s="5">
        <v>101</v>
      </c>
      <c r="D237" s="4" t="s">
        <v>13</v>
      </c>
      <c r="E237" s="4" t="s">
        <v>14</v>
      </c>
      <c r="F237" s="5">
        <v>201</v>
      </c>
      <c r="G237" s="4" t="s">
        <v>17</v>
      </c>
      <c r="H237" s="4" t="s">
        <v>18</v>
      </c>
      <c r="I237" s="5">
        <v>1</v>
      </c>
      <c r="J237" s="5">
        <v>850000</v>
      </c>
      <c r="K237" s="5">
        <v>680000</v>
      </c>
      <c r="L237" s="5">
        <v>850000</v>
      </c>
      <c r="M237" s="5">
        <v>170000</v>
      </c>
    </row>
    <row r="238" spans="1:13" x14ac:dyDescent="0.3">
      <c r="A238" s="5">
        <v>237</v>
      </c>
      <c r="B238" s="10">
        <v>46102</v>
      </c>
      <c r="C238" s="5">
        <v>107</v>
      </c>
      <c r="D238" s="4" t="s">
        <v>24</v>
      </c>
      <c r="E238" s="4" t="s">
        <v>14</v>
      </c>
      <c r="F238" s="5">
        <v>205</v>
      </c>
      <c r="G238" s="4" t="s">
        <v>23</v>
      </c>
      <c r="H238" s="4" t="s">
        <v>16</v>
      </c>
      <c r="I238" s="5">
        <v>1</v>
      </c>
      <c r="J238" s="5">
        <v>220000</v>
      </c>
      <c r="K238" s="5">
        <v>145000</v>
      </c>
      <c r="L238" s="5">
        <v>220000</v>
      </c>
      <c r="M238" s="5">
        <v>75000</v>
      </c>
    </row>
    <row r="239" spans="1:13" x14ac:dyDescent="0.3">
      <c r="A239" s="5">
        <v>238</v>
      </c>
      <c r="B239" s="10">
        <v>46102</v>
      </c>
      <c r="C239" s="5">
        <v>103</v>
      </c>
      <c r="D239" s="4" t="s">
        <v>32</v>
      </c>
      <c r="E239" s="4" t="s">
        <v>31</v>
      </c>
      <c r="F239" s="5">
        <v>204</v>
      </c>
      <c r="G239" s="4" t="s">
        <v>22</v>
      </c>
      <c r="H239" s="4" t="s">
        <v>21</v>
      </c>
      <c r="I239" s="5">
        <v>2</v>
      </c>
      <c r="J239" s="5">
        <v>53350</v>
      </c>
      <c r="K239" s="5">
        <v>33000</v>
      </c>
      <c r="L239" s="5">
        <v>106700</v>
      </c>
      <c r="M239" s="5">
        <v>40700</v>
      </c>
    </row>
    <row r="240" spans="1:13" x14ac:dyDescent="0.3">
      <c r="A240" s="5">
        <v>239</v>
      </c>
      <c r="B240" s="10">
        <v>46102</v>
      </c>
      <c r="C240" s="5">
        <v>102</v>
      </c>
      <c r="D240" s="4" t="s">
        <v>27</v>
      </c>
      <c r="E240" s="4" t="s">
        <v>28</v>
      </c>
      <c r="F240" s="5">
        <v>205</v>
      </c>
      <c r="G240" s="4" t="s">
        <v>23</v>
      </c>
      <c r="H240" s="4" t="s">
        <v>16</v>
      </c>
      <c r="I240" s="5">
        <v>2</v>
      </c>
      <c r="J240" s="5">
        <v>220000</v>
      </c>
      <c r="K240" s="5">
        <v>145000</v>
      </c>
      <c r="L240" s="5">
        <v>440000</v>
      </c>
      <c r="M240" s="5">
        <v>150000</v>
      </c>
    </row>
    <row r="241" spans="1:13" x14ac:dyDescent="0.3">
      <c r="A241" s="5">
        <v>240</v>
      </c>
      <c r="B241" s="10">
        <v>46102</v>
      </c>
      <c r="C241" s="5">
        <v>106</v>
      </c>
      <c r="D241" s="4" t="s">
        <v>29</v>
      </c>
      <c r="E241" s="4" t="s">
        <v>28</v>
      </c>
      <c r="F241" s="5">
        <v>206</v>
      </c>
      <c r="G241" s="4" t="s">
        <v>15</v>
      </c>
      <c r="H241" s="4" t="s">
        <v>16</v>
      </c>
      <c r="I241" s="5">
        <v>1</v>
      </c>
      <c r="J241" s="5">
        <v>339500</v>
      </c>
      <c r="K241" s="5">
        <v>235000</v>
      </c>
      <c r="L241" s="5">
        <v>339500</v>
      </c>
      <c r="M241" s="5">
        <v>104500</v>
      </c>
    </row>
    <row r="242" spans="1:13" x14ac:dyDescent="0.3">
      <c r="A242" s="5">
        <v>241</v>
      </c>
      <c r="B242" s="10">
        <v>46103</v>
      </c>
      <c r="C242" s="5">
        <v>106</v>
      </c>
      <c r="D242" s="4" t="s">
        <v>29</v>
      </c>
      <c r="E242" s="4" t="s">
        <v>28</v>
      </c>
      <c r="F242" s="5">
        <v>206</v>
      </c>
      <c r="G242" s="4" t="s">
        <v>15</v>
      </c>
      <c r="H242" s="4" t="s">
        <v>16</v>
      </c>
      <c r="I242" s="5">
        <v>3</v>
      </c>
      <c r="J242" s="5">
        <v>339500</v>
      </c>
      <c r="K242" s="5">
        <v>235000</v>
      </c>
      <c r="L242" s="5">
        <v>1018500</v>
      </c>
      <c r="M242" s="5">
        <v>313500</v>
      </c>
    </row>
    <row r="243" spans="1:13" x14ac:dyDescent="0.3">
      <c r="A243" s="5">
        <v>242</v>
      </c>
      <c r="B243" s="10">
        <v>46103</v>
      </c>
      <c r="C243" s="5">
        <v>106</v>
      </c>
      <c r="D243" s="4" t="s">
        <v>29</v>
      </c>
      <c r="E243" s="4" t="s">
        <v>28</v>
      </c>
      <c r="F243" s="5">
        <v>201</v>
      </c>
      <c r="G243" s="4" t="s">
        <v>17</v>
      </c>
      <c r="H243" s="4" t="s">
        <v>18</v>
      </c>
      <c r="I243" s="5">
        <v>2</v>
      </c>
      <c r="J243" s="5">
        <v>807500</v>
      </c>
      <c r="K243" s="5">
        <v>680000</v>
      </c>
      <c r="L243" s="5">
        <v>1615000</v>
      </c>
      <c r="M243" s="5">
        <v>255000</v>
      </c>
    </row>
    <row r="244" spans="1:13" x14ac:dyDescent="0.3">
      <c r="A244" s="5">
        <v>243</v>
      </c>
      <c r="B244" s="10">
        <v>46103</v>
      </c>
      <c r="C244" s="5">
        <v>106</v>
      </c>
      <c r="D244" s="4" t="s">
        <v>29</v>
      </c>
      <c r="E244" s="4" t="s">
        <v>28</v>
      </c>
      <c r="F244" s="5">
        <v>201</v>
      </c>
      <c r="G244" s="4" t="s">
        <v>17</v>
      </c>
      <c r="H244" s="4" t="s">
        <v>18</v>
      </c>
      <c r="I244" s="5">
        <v>3</v>
      </c>
      <c r="J244" s="5">
        <v>824500</v>
      </c>
      <c r="K244" s="5">
        <v>680000</v>
      </c>
      <c r="L244" s="5">
        <v>2473500</v>
      </c>
      <c r="M244" s="5">
        <v>433500</v>
      </c>
    </row>
    <row r="245" spans="1:13" x14ac:dyDescent="0.3">
      <c r="A245" s="5">
        <v>244</v>
      </c>
      <c r="B245" s="10">
        <v>46103</v>
      </c>
      <c r="C245" s="5">
        <v>105</v>
      </c>
      <c r="D245" s="4" t="s">
        <v>33</v>
      </c>
      <c r="E245" s="4" t="s">
        <v>34</v>
      </c>
      <c r="F245" s="5">
        <v>206</v>
      </c>
      <c r="G245" s="4" t="s">
        <v>15</v>
      </c>
      <c r="H245" s="4" t="s">
        <v>16</v>
      </c>
      <c r="I245" s="5">
        <v>1</v>
      </c>
      <c r="J245" s="5">
        <v>322000</v>
      </c>
      <c r="K245" s="5">
        <v>235000</v>
      </c>
      <c r="L245" s="5">
        <v>322000</v>
      </c>
      <c r="M245" s="5">
        <v>87000</v>
      </c>
    </row>
    <row r="246" spans="1:13" x14ac:dyDescent="0.3">
      <c r="A246" s="5">
        <v>245</v>
      </c>
      <c r="B246" s="10">
        <v>46104</v>
      </c>
      <c r="C246" s="5">
        <v>107</v>
      </c>
      <c r="D246" s="4" t="s">
        <v>24</v>
      </c>
      <c r="E246" s="4" t="s">
        <v>14</v>
      </c>
      <c r="F246" s="5">
        <v>203</v>
      </c>
      <c r="G246" s="4" t="s">
        <v>20</v>
      </c>
      <c r="H246" s="4" t="s">
        <v>21</v>
      </c>
      <c r="I246" s="5">
        <v>2</v>
      </c>
      <c r="J246" s="5">
        <v>87400</v>
      </c>
      <c r="K246" s="5">
        <v>62000</v>
      </c>
      <c r="L246" s="5">
        <v>174800</v>
      </c>
      <c r="M246" s="5">
        <v>50800</v>
      </c>
    </row>
    <row r="247" spans="1:13" x14ac:dyDescent="0.3">
      <c r="A247" s="5">
        <v>246</v>
      </c>
      <c r="B247" s="10">
        <v>46104</v>
      </c>
      <c r="C247" s="5">
        <v>106</v>
      </c>
      <c r="D247" s="4" t="s">
        <v>29</v>
      </c>
      <c r="E247" s="4" t="s">
        <v>28</v>
      </c>
      <c r="F247" s="5">
        <v>201</v>
      </c>
      <c r="G247" s="4" t="s">
        <v>17</v>
      </c>
      <c r="H247" s="4" t="s">
        <v>18</v>
      </c>
      <c r="I247" s="5">
        <v>4</v>
      </c>
      <c r="J247" s="5">
        <v>782000</v>
      </c>
      <c r="K247" s="5">
        <v>680000</v>
      </c>
      <c r="L247" s="5">
        <v>3128000</v>
      </c>
      <c r="M247" s="5">
        <v>408000</v>
      </c>
    </row>
    <row r="248" spans="1:13" x14ac:dyDescent="0.3">
      <c r="A248" s="5">
        <v>247</v>
      </c>
      <c r="B248" s="10">
        <v>46104</v>
      </c>
      <c r="C248" s="5">
        <v>104</v>
      </c>
      <c r="D248" s="4" t="s">
        <v>25</v>
      </c>
      <c r="E248" s="4" t="s">
        <v>14</v>
      </c>
      <c r="F248" s="5">
        <v>206</v>
      </c>
      <c r="G248" s="4" t="s">
        <v>15</v>
      </c>
      <c r="H248" s="4" t="s">
        <v>16</v>
      </c>
      <c r="I248" s="5">
        <v>4</v>
      </c>
      <c r="J248" s="5">
        <v>339500</v>
      </c>
      <c r="K248" s="5">
        <v>235000</v>
      </c>
      <c r="L248" s="5">
        <v>1358000</v>
      </c>
      <c r="M248" s="5">
        <v>418000</v>
      </c>
    </row>
    <row r="249" spans="1:13" x14ac:dyDescent="0.3">
      <c r="A249" s="5">
        <v>248</v>
      </c>
      <c r="B249" s="10">
        <v>46105</v>
      </c>
      <c r="C249" s="5">
        <v>106</v>
      </c>
      <c r="D249" s="4" t="s">
        <v>29</v>
      </c>
      <c r="E249" s="4" t="s">
        <v>28</v>
      </c>
      <c r="F249" s="5">
        <v>202</v>
      </c>
      <c r="G249" s="4" t="s">
        <v>19</v>
      </c>
      <c r="H249" s="4" t="s">
        <v>18</v>
      </c>
      <c r="I249" s="5">
        <v>4</v>
      </c>
      <c r="J249" s="5">
        <v>266000</v>
      </c>
      <c r="K249" s="5">
        <v>210000</v>
      </c>
      <c r="L249" s="5">
        <v>1064000</v>
      </c>
      <c r="M249" s="5">
        <v>224000</v>
      </c>
    </row>
    <row r="250" spans="1:13" x14ac:dyDescent="0.3">
      <c r="A250" s="5">
        <v>249</v>
      </c>
      <c r="B250" s="10">
        <v>46105</v>
      </c>
      <c r="C250" s="5">
        <v>104</v>
      </c>
      <c r="D250" s="4" t="s">
        <v>25</v>
      </c>
      <c r="E250" s="4" t="s">
        <v>14</v>
      </c>
      <c r="F250" s="5">
        <v>201</v>
      </c>
      <c r="G250" s="4" t="s">
        <v>17</v>
      </c>
      <c r="H250" s="4" t="s">
        <v>18</v>
      </c>
      <c r="I250" s="5">
        <v>4</v>
      </c>
      <c r="J250" s="5">
        <v>850000</v>
      </c>
      <c r="K250" s="5">
        <v>680000</v>
      </c>
      <c r="L250" s="5">
        <v>3400000</v>
      </c>
      <c r="M250" s="5">
        <v>680000</v>
      </c>
    </row>
    <row r="251" spans="1:13" x14ac:dyDescent="0.3">
      <c r="A251" s="5">
        <v>250</v>
      </c>
      <c r="B251" s="10">
        <v>46106</v>
      </c>
      <c r="C251" s="5">
        <v>107</v>
      </c>
      <c r="D251" s="4" t="s">
        <v>24</v>
      </c>
      <c r="E251" s="4" t="s">
        <v>14</v>
      </c>
      <c r="F251" s="5">
        <v>206</v>
      </c>
      <c r="G251" s="4" t="s">
        <v>15</v>
      </c>
      <c r="H251" s="4" t="s">
        <v>16</v>
      </c>
      <c r="I251" s="5">
        <v>5</v>
      </c>
      <c r="J251" s="5">
        <v>322000</v>
      </c>
      <c r="K251" s="5">
        <v>235000</v>
      </c>
      <c r="L251" s="5">
        <v>1610000</v>
      </c>
      <c r="M251" s="5">
        <v>435000</v>
      </c>
    </row>
    <row r="252" spans="1:13" x14ac:dyDescent="0.3">
      <c r="A252" s="5">
        <v>251</v>
      </c>
      <c r="B252" s="10">
        <v>46106</v>
      </c>
      <c r="C252" s="5">
        <v>105</v>
      </c>
      <c r="D252" s="4" t="s">
        <v>33</v>
      </c>
      <c r="E252" s="4" t="s">
        <v>34</v>
      </c>
      <c r="F252" s="5">
        <v>202</v>
      </c>
      <c r="G252" s="4" t="s">
        <v>19</v>
      </c>
      <c r="H252" s="4" t="s">
        <v>18</v>
      </c>
      <c r="I252" s="5">
        <v>5</v>
      </c>
      <c r="J252" s="5">
        <v>257600</v>
      </c>
      <c r="K252" s="5">
        <v>210000</v>
      </c>
      <c r="L252" s="5">
        <v>1288000</v>
      </c>
      <c r="M252" s="5">
        <v>238000</v>
      </c>
    </row>
    <row r="253" spans="1:13" x14ac:dyDescent="0.3">
      <c r="A253" s="5">
        <v>252</v>
      </c>
      <c r="B253" s="10">
        <v>46106</v>
      </c>
      <c r="C253" s="5">
        <v>108</v>
      </c>
      <c r="D253" s="4" t="s">
        <v>30</v>
      </c>
      <c r="E253" s="4" t="s">
        <v>31</v>
      </c>
      <c r="F253" s="5">
        <v>204</v>
      </c>
      <c r="G253" s="4" t="s">
        <v>22</v>
      </c>
      <c r="H253" s="4" t="s">
        <v>21</v>
      </c>
      <c r="I253" s="5">
        <v>1</v>
      </c>
      <c r="J253" s="5">
        <v>52250</v>
      </c>
      <c r="K253" s="5">
        <v>33000</v>
      </c>
      <c r="L253" s="5">
        <v>52250</v>
      </c>
      <c r="M253" s="5">
        <v>19250</v>
      </c>
    </row>
    <row r="254" spans="1:13" x14ac:dyDescent="0.3">
      <c r="A254" s="5">
        <v>253</v>
      </c>
      <c r="B254" s="10">
        <v>46107</v>
      </c>
      <c r="C254" s="5">
        <v>107</v>
      </c>
      <c r="D254" s="4" t="s">
        <v>24</v>
      </c>
      <c r="E254" s="4" t="s">
        <v>14</v>
      </c>
      <c r="F254" s="5">
        <v>203</v>
      </c>
      <c r="G254" s="4" t="s">
        <v>20</v>
      </c>
      <c r="H254" s="4" t="s">
        <v>21</v>
      </c>
      <c r="I254" s="5">
        <v>2</v>
      </c>
      <c r="J254" s="5">
        <v>95000</v>
      </c>
      <c r="K254" s="5">
        <v>62000</v>
      </c>
      <c r="L254" s="5">
        <v>190000</v>
      </c>
      <c r="M254" s="5">
        <v>66000</v>
      </c>
    </row>
    <row r="255" spans="1:13" x14ac:dyDescent="0.3">
      <c r="A255" s="5">
        <v>254</v>
      </c>
      <c r="B255" s="10">
        <v>46107</v>
      </c>
      <c r="C255" s="5">
        <v>107</v>
      </c>
      <c r="D255" s="4" t="s">
        <v>24</v>
      </c>
      <c r="E255" s="4" t="s">
        <v>14</v>
      </c>
      <c r="F255" s="5">
        <v>205</v>
      </c>
      <c r="G255" s="4" t="s">
        <v>23</v>
      </c>
      <c r="H255" s="4" t="s">
        <v>16</v>
      </c>
      <c r="I255" s="5">
        <v>1</v>
      </c>
      <c r="J255" s="5">
        <v>213400</v>
      </c>
      <c r="K255" s="5">
        <v>145000</v>
      </c>
      <c r="L255" s="5">
        <v>213400</v>
      </c>
      <c r="M255" s="5">
        <v>68400</v>
      </c>
    </row>
    <row r="256" spans="1:13" x14ac:dyDescent="0.3">
      <c r="A256" s="5">
        <v>255</v>
      </c>
      <c r="B256" s="10">
        <v>46107</v>
      </c>
      <c r="C256" s="5">
        <v>104</v>
      </c>
      <c r="D256" s="4" t="s">
        <v>25</v>
      </c>
      <c r="E256" s="4" t="s">
        <v>14</v>
      </c>
      <c r="F256" s="5">
        <v>203</v>
      </c>
      <c r="G256" s="4" t="s">
        <v>20</v>
      </c>
      <c r="H256" s="4" t="s">
        <v>21</v>
      </c>
      <c r="I256" s="5">
        <v>5</v>
      </c>
      <c r="J256" s="5">
        <v>95000</v>
      </c>
      <c r="K256" s="5">
        <v>62000</v>
      </c>
      <c r="L256" s="5">
        <v>475000</v>
      </c>
      <c r="M256" s="5">
        <v>165000</v>
      </c>
    </row>
    <row r="257" spans="1:13" x14ac:dyDescent="0.3">
      <c r="A257" s="5">
        <v>256</v>
      </c>
      <c r="B257" s="10">
        <v>46108</v>
      </c>
      <c r="C257" s="5">
        <v>102</v>
      </c>
      <c r="D257" s="4" t="s">
        <v>27</v>
      </c>
      <c r="E257" s="4" t="s">
        <v>28</v>
      </c>
      <c r="F257" s="5">
        <v>202</v>
      </c>
      <c r="G257" s="4" t="s">
        <v>19</v>
      </c>
      <c r="H257" s="4" t="s">
        <v>18</v>
      </c>
      <c r="I257" s="5">
        <v>5</v>
      </c>
      <c r="J257" s="5">
        <v>257600</v>
      </c>
      <c r="K257" s="5">
        <v>210000</v>
      </c>
      <c r="L257" s="5">
        <v>1288000</v>
      </c>
      <c r="M257" s="5">
        <v>238000</v>
      </c>
    </row>
    <row r="258" spans="1:13" x14ac:dyDescent="0.3">
      <c r="A258" s="5">
        <v>257</v>
      </c>
      <c r="B258" s="10">
        <v>46108</v>
      </c>
      <c r="C258" s="5">
        <v>101</v>
      </c>
      <c r="D258" s="4" t="s">
        <v>13</v>
      </c>
      <c r="E258" s="4" t="s">
        <v>14</v>
      </c>
      <c r="F258" s="5">
        <v>204</v>
      </c>
      <c r="G258" s="4" t="s">
        <v>22</v>
      </c>
      <c r="H258" s="4" t="s">
        <v>21</v>
      </c>
      <c r="I258" s="5">
        <v>2</v>
      </c>
      <c r="J258" s="5">
        <v>55000</v>
      </c>
      <c r="K258" s="5">
        <v>33000</v>
      </c>
      <c r="L258" s="5">
        <v>110000</v>
      </c>
      <c r="M258" s="5">
        <v>44000</v>
      </c>
    </row>
    <row r="259" spans="1:13" x14ac:dyDescent="0.3">
      <c r="A259" s="5">
        <v>258</v>
      </c>
      <c r="B259" s="10">
        <v>46109</v>
      </c>
      <c r="C259" s="5">
        <v>102</v>
      </c>
      <c r="D259" s="4" t="s">
        <v>27</v>
      </c>
      <c r="E259" s="4" t="s">
        <v>28</v>
      </c>
      <c r="F259" s="5">
        <v>203</v>
      </c>
      <c r="G259" s="4" t="s">
        <v>20</v>
      </c>
      <c r="H259" s="4" t="s">
        <v>21</v>
      </c>
      <c r="I259" s="5">
        <v>5</v>
      </c>
      <c r="J259" s="5">
        <v>90250</v>
      </c>
      <c r="K259" s="5">
        <v>62000</v>
      </c>
      <c r="L259" s="5">
        <v>451250</v>
      </c>
      <c r="M259" s="5">
        <v>141250</v>
      </c>
    </row>
    <row r="260" spans="1:13" x14ac:dyDescent="0.3">
      <c r="A260" s="5">
        <v>259</v>
      </c>
      <c r="B260" s="10">
        <v>46109</v>
      </c>
      <c r="C260" s="5">
        <v>106</v>
      </c>
      <c r="D260" s="4" t="s">
        <v>29</v>
      </c>
      <c r="E260" s="4" t="s">
        <v>28</v>
      </c>
      <c r="F260" s="5">
        <v>203</v>
      </c>
      <c r="G260" s="4" t="s">
        <v>20</v>
      </c>
      <c r="H260" s="4" t="s">
        <v>21</v>
      </c>
      <c r="I260" s="5">
        <v>1</v>
      </c>
      <c r="J260" s="5">
        <v>95000</v>
      </c>
      <c r="K260" s="5">
        <v>62000</v>
      </c>
      <c r="L260" s="5">
        <v>95000</v>
      </c>
      <c r="M260" s="5">
        <v>33000</v>
      </c>
    </row>
    <row r="261" spans="1:13" x14ac:dyDescent="0.3">
      <c r="A261" s="5">
        <v>260</v>
      </c>
      <c r="B261" s="10">
        <v>46110</v>
      </c>
      <c r="C261" s="5">
        <v>102</v>
      </c>
      <c r="D261" s="4" t="s">
        <v>27</v>
      </c>
      <c r="E261" s="4" t="s">
        <v>28</v>
      </c>
      <c r="F261" s="5">
        <v>206</v>
      </c>
      <c r="G261" s="4" t="s">
        <v>15</v>
      </c>
      <c r="H261" s="4" t="s">
        <v>16</v>
      </c>
      <c r="I261" s="5">
        <v>5</v>
      </c>
      <c r="J261" s="5">
        <v>322000</v>
      </c>
      <c r="K261" s="5">
        <v>235000</v>
      </c>
      <c r="L261" s="5">
        <v>1610000</v>
      </c>
      <c r="M261" s="5">
        <v>435000</v>
      </c>
    </row>
    <row r="262" spans="1:13" x14ac:dyDescent="0.3">
      <c r="A262" s="5">
        <v>261</v>
      </c>
      <c r="B262" s="10">
        <v>46110</v>
      </c>
      <c r="C262" s="5">
        <v>106</v>
      </c>
      <c r="D262" s="4" t="s">
        <v>29</v>
      </c>
      <c r="E262" s="4" t="s">
        <v>28</v>
      </c>
      <c r="F262" s="5">
        <v>204</v>
      </c>
      <c r="G262" s="4" t="s">
        <v>22</v>
      </c>
      <c r="H262" s="4" t="s">
        <v>21</v>
      </c>
      <c r="I262" s="5">
        <v>4</v>
      </c>
      <c r="J262" s="5">
        <v>53350</v>
      </c>
      <c r="K262" s="5">
        <v>33000</v>
      </c>
      <c r="L262" s="5">
        <v>213400</v>
      </c>
      <c r="M262" s="5">
        <v>81400</v>
      </c>
    </row>
    <row r="263" spans="1:13" x14ac:dyDescent="0.3">
      <c r="A263" s="5">
        <v>262</v>
      </c>
      <c r="B263" s="10">
        <v>46111</v>
      </c>
      <c r="C263" s="5">
        <v>107</v>
      </c>
      <c r="D263" s="4" t="s">
        <v>24</v>
      </c>
      <c r="E263" s="4" t="s">
        <v>14</v>
      </c>
      <c r="F263" s="5">
        <v>205</v>
      </c>
      <c r="G263" s="4" t="s">
        <v>23</v>
      </c>
      <c r="H263" s="4" t="s">
        <v>16</v>
      </c>
      <c r="I263" s="5">
        <v>4</v>
      </c>
      <c r="J263" s="5">
        <v>220000</v>
      </c>
      <c r="K263" s="5">
        <v>145000</v>
      </c>
      <c r="L263" s="5">
        <v>880000</v>
      </c>
      <c r="M263" s="5">
        <v>300000</v>
      </c>
    </row>
    <row r="264" spans="1:13" x14ac:dyDescent="0.3">
      <c r="A264" s="5">
        <v>263</v>
      </c>
      <c r="B264" s="10">
        <v>46111</v>
      </c>
      <c r="C264" s="5">
        <v>106</v>
      </c>
      <c r="D264" s="4" t="s">
        <v>29</v>
      </c>
      <c r="E264" s="4" t="s">
        <v>28</v>
      </c>
      <c r="F264" s="5">
        <v>203</v>
      </c>
      <c r="G264" s="4" t="s">
        <v>20</v>
      </c>
      <c r="H264" s="4" t="s">
        <v>21</v>
      </c>
      <c r="I264" s="5">
        <v>4</v>
      </c>
      <c r="J264" s="5">
        <v>90250</v>
      </c>
      <c r="K264" s="5">
        <v>62000</v>
      </c>
      <c r="L264" s="5">
        <v>361000</v>
      </c>
      <c r="M264" s="5">
        <v>113000</v>
      </c>
    </row>
    <row r="265" spans="1:13" x14ac:dyDescent="0.3">
      <c r="A265" s="5">
        <v>264</v>
      </c>
      <c r="B265" s="10">
        <v>46111</v>
      </c>
      <c r="C265" s="5">
        <v>108</v>
      </c>
      <c r="D265" s="4" t="s">
        <v>30</v>
      </c>
      <c r="E265" s="4" t="s">
        <v>31</v>
      </c>
      <c r="F265" s="5">
        <v>203</v>
      </c>
      <c r="G265" s="4" t="s">
        <v>20</v>
      </c>
      <c r="H265" s="4" t="s">
        <v>21</v>
      </c>
      <c r="I265" s="5">
        <v>5</v>
      </c>
      <c r="J265" s="5">
        <v>87400</v>
      </c>
      <c r="K265" s="5">
        <v>62000</v>
      </c>
      <c r="L265" s="5">
        <v>437000</v>
      </c>
      <c r="M265" s="5">
        <v>127000</v>
      </c>
    </row>
    <row r="266" spans="1:13" x14ac:dyDescent="0.3">
      <c r="A266" s="5">
        <v>265</v>
      </c>
      <c r="B266" s="10">
        <v>46111</v>
      </c>
      <c r="C266" s="5">
        <v>103</v>
      </c>
      <c r="D266" s="4" t="s">
        <v>32</v>
      </c>
      <c r="E266" s="4" t="s">
        <v>31</v>
      </c>
      <c r="F266" s="5">
        <v>203</v>
      </c>
      <c r="G266" s="4" t="s">
        <v>20</v>
      </c>
      <c r="H266" s="4" t="s">
        <v>21</v>
      </c>
      <c r="I266" s="5">
        <v>3</v>
      </c>
      <c r="J266" s="5">
        <v>87400</v>
      </c>
      <c r="K266" s="5">
        <v>62000</v>
      </c>
      <c r="L266" s="5">
        <v>262200</v>
      </c>
      <c r="M266" s="5">
        <v>76200</v>
      </c>
    </row>
    <row r="267" spans="1:13" x14ac:dyDescent="0.3">
      <c r="A267" s="5">
        <v>266</v>
      </c>
      <c r="B267" s="10">
        <v>46112</v>
      </c>
      <c r="C267" s="5">
        <v>107</v>
      </c>
      <c r="D267" s="4" t="s">
        <v>24</v>
      </c>
      <c r="E267" s="4" t="s">
        <v>14</v>
      </c>
      <c r="F267" s="5">
        <v>203</v>
      </c>
      <c r="G267" s="4" t="s">
        <v>20</v>
      </c>
      <c r="H267" s="4" t="s">
        <v>21</v>
      </c>
      <c r="I267" s="5">
        <v>3</v>
      </c>
      <c r="J267" s="5">
        <v>92150</v>
      </c>
      <c r="K267" s="5">
        <v>62000</v>
      </c>
      <c r="L267" s="5">
        <v>276450</v>
      </c>
      <c r="M267" s="5">
        <v>90450</v>
      </c>
    </row>
    <row r="268" spans="1:13" x14ac:dyDescent="0.3">
      <c r="A268" s="5">
        <v>267</v>
      </c>
      <c r="B268" s="10">
        <v>46112</v>
      </c>
      <c r="C268" s="5">
        <v>108</v>
      </c>
      <c r="D268" s="4" t="s">
        <v>30</v>
      </c>
      <c r="E268" s="4" t="s">
        <v>31</v>
      </c>
      <c r="F268" s="5">
        <v>202</v>
      </c>
      <c r="G268" s="4" t="s">
        <v>19</v>
      </c>
      <c r="H268" s="4" t="s">
        <v>18</v>
      </c>
      <c r="I268" s="5">
        <v>3</v>
      </c>
      <c r="J268" s="5">
        <v>280000</v>
      </c>
      <c r="K268" s="5">
        <v>210000</v>
      </c>
      <c r="L268" s="5">
        <v>840000</v>
      </c>
      <c r="M268" s="5">
        <v>210000</v>
      </c>
    </row>
    <row r="269" spans="1:13" x14ac:dyDescent="0.3">
      <c r="A269" s="5">
        <v>268</v>
      </c>
      <c r="B269" s="10">
        <v>46112</v>
      </c>
      <c r="C269" s="5">
        <v>107</v>
      </c>
      <c r="D269" s="4" t="s">
        <v>24</v>
      </c>
      <c r="E269" s="4" t="s">
        <v>14</v>
      </c>
      <c r="F269" s="5">
        <v>203</v>
      </c>
      <c r="G269" s="4" t="s">
        <v>20</v>
      </c>
      <c r="H269" s="4" t="s">
        <v>21</v>
      </c>
      <c r="I269" s="5">
        <v>2</v>
      </c>
      <c r="J269" s="5">
        <v>90250</v>
      </c>
      <c r="K269" s="5">
        <v>62000</v>
      </c>
      <c r="L269" s="5">
        <v>180500</v>
      </c>
      <c r="M269" s="5">
        <v>56500</v>
      </c>
    </row>
    <row r="270" spans="1:13" x14ac:dyDescent="0.3">
      <c r="A270" s="5">
        <v>269</v>
      </c>
      <c r="B270" s="10">
        <v>46112</v>
      </c>
      <c r="C270" s="5">
        <v>104</v>
      </c>
      <c r="D270" s="4" t="s">
        <v>25</v>
      </c>
      <c r="E270" s="4" t="s">
        <v>14</v>
      </c>
      <c r="F270" s="5">
        <v>206</v>
      </c>
      <c r="G270" s="4" t="s">
        <v>15</v>
      </c>
      <c r="H270" s="4" t="s">
        <v>16</v>
      </c>
      <c r="I270" s="5">
        <v>3</v>
      </c>
      <c r="J270" s="5">
        <v>332500</v>
      </c>
      <c r="K270" s="5">
        <v>235000</v>
      </c>
      <c r="L270" s="5">
        <v>997500</v>
      </c>
      <c r="M270" s="5">
        <v>292500</v>
      </c>
    </row>
    <row r="271" spans="1:13" x14ac:dyDescent="0.3">
      <c r="A271" s="5">
        <v>270</v>
      </c>
      <c r="B271" s="10">
        <v>46113</v>
      </c>
      <c r="C271" s="5">
        <v>101</v>
      </c>
      <c r="D271" s="4" t="s">
        <v>13</v>
      </c>
      <c r="E271" s="4" t="s">
        <v>14</v>
      </c>
      <c r="F271" s="5">
        <v>203</v>
      </c>
      <c r="G271" s="4" t="s">
        <v>20</v>
      </c>
      <c r="H271" s="4" t="s">
        <v>21</v>
      </c>
      <c r="I271" s="5">
        <v>5</v>
      </c>
      <c r="J271" s="5">
        <v>87400</v>
      </c>
      <c r="K271" s="5">
        <v>62000</v>
      </c>
      <c r="L271" s="5">
        <v>437000</v>
      </c>
      <c r="M271" s="5">
        <v>127000</v>
      </c>
    </row>
    <row r="272" spans="1:13" x14ac:dyDescent="0.3">
      <c r="A272" s="5">
        <v>271</v>
      </c>
      <c r="B272" s="10">
        <v>46113</v>
      </c>
      <c r="C272" s="5">
        <v>106</v>
      </c>
      <c r="D272" s="4" t="s">
        <v>29</v>
      </c>
      <c r="E272" s="4" t="s">
        <v>28</v>
      </c>
      <c r="F272" s="5">
        <v>204</v>
      </c>
      <c r="G272" s="4" t="s">
        <v>22</v>
      </c>
      <c r="H272" s="4" t="s">
        <v>21</v>
      </c>
      <c r="I272" s="5">
        <v>2</v>
      </c>
      <c r="J272" s="5">
        <v>55000</v>
      </c>
      <c r="K272" s="5">
        <v>33000</v>
      </c>
      <c r="L272" s="5">
        <v>110000</v>
      </c>
      <c r="M272" s="5">
        <v>44000</v>
      </c>
    </row>
    <row r="273" spans="1:13" x14ac:dyDescent="0.3">
      <c r="A273" s="5">
        <v>272</v>
      </c>
      <c r="B273" s="10">
        <v>46114</v>
      </c>
      <c r="C273" s="5">
        <v>103</v>
      </c>
      <c r="D273" s="4" t="s">
        <v>32</v>
      </c>
      <c r="E273" s="4" t="s">
        <v>31</v>
      </c>
      <c r="F273" s="5">
        <v>202</v>
      </c>
      <c r="G273" s="4" t="s">
        <v>19</v>
      </c>
      <c r="H273" s="4" t="s">
        <v>18</v>
      </c>
      <c r="I273" s="5">
        <v>1</v>
      </c>
      <c r="J273" s="5">
        <v>271600</v>
      </c>
      <c r="K273" s="5">
        <v>210000</v>
      </c>
      <c r="L273" s="5">
        <v>271600</v>
      </c>
      <c r="M273" s="5">
        <v>61600</v>
      </c>
    </row>
    <row r="274" spans="1:13" x14ac:dyDescent="0.3">
      <c r="A274" s="5">
        <v>273</v>
      </c>
      <c r="B274" s="10">
        <v>46114</v>
      </c>
      <c r="C274" s="5">
        <v>101</v>
      </c>
      <c r="D274" s="4" t="s">
        <v>13</v>
      </c>
      <c r="E274" s="4" t="s">
        <v>14</v>
      </c>
      <c r="F274" s="5">
        <v>204</v>
      </c>
      <c r="G274" s="4" t="s">
        <v>22</v>
      </c>
      <c r="H274" s="4" t="s">
        <v>21</v>
      </c>
      <c r="I274" s="5">
        <v>5</v>
      </c>
      <c r="J274" s="5">
        <v>52250</v>
      </c>
      <c r="K274" s="5">
        <v>33000</v>
      </c>
      <c r="L274" s="5">
        <v>261250</v>
      </c>
      <c r="M274" s="5">
        <v>96250</v>
      </c>
    </row>
    <row r="275" spans="1:13" x14ac:dyDescent="0.3">
      <c r="A275" s="5">
        <v>274</v>
      </c>
      <c r="B275" s="10">
        <v>46115</v>
      </c>
      <c r="C275" s="5">
        <v>104</v>
      </c>
      <c r="D275" s="4" t="s">
        <v>25</v>
      </c>
      <c r="E275" s="4" t="s">
        <v>14</v>
      </c>
      <c r="F275" s="5">
        <v>202</v>
      </c>
      <c r="G275" s="4" t="s">
        <v>19</v>
      </c>
      <c r="H275" s="4" t="s">
        <v>18</v>
      </c>
      <c r="I275" s="5">
        <v>1</v>
      </c>
      <c r="J275" s="5">
        <v>266000</v>
      </c>
      <c r="K275" s="5">
        <v>210000</v>
      </c>
      <c r="L275" s="5">
        <v>266000</v>
      </c>
      <c r="M275" s="5">
        <v>56000</v>
      </c>
    </row>
    <row r="276" spans="1:13" x14ac:dyDescent="0.3">
      <c r="A276" s="5">
        <v>275</v>
      </c>
      <c r="B276" s="10">
        <v>46115</v>
      </c>
      <c r="C276" s="5">
        <v>105</v>
      </c>
      <c r="D276" s="4" t="s">
        <v>33</v>
      </c>
      <c r="E276" s="4" t="s">
        <v>34</v>
      </c>
      <c r="F276" s="5">
        <v>201</v>
      </c>
      <c r="G276" s="4" t="s">
        <v>17</v>
      </c>
      <c r="H276" s="4" t="s">
        <v>18</v>
      </c>
      <c r="I276" s="5">
        <v>3</v>
      </c>
      <c r="J276" s="5">
        <v>824500</v>
      </c>
      <c r="K276" s="5">
        <v>680000</v>
      </c>
      <c r="L276" s="5">
        <v>2473500</v>
      </c>
      <c r="M276" s="5">
        <v>433500</v>
      </c>
    </row>
    <row r="277" spans="1:13" x14ac:dyDescent="0.3">
      <c r="A277" s="5">
        <v>276</v>
      </c>
      <c r="B277" s="10">
        <v>46115</v>
      </c>
      <c r="C277" s="5">
        <v>102</v>
      </c>
      <c r="D277" s="4" t="s">
        <v>27</v>
      </c>
      <c r="E277" s="4" t="s">
        <v>28</v>
      </c>
      <c r="F277" s="5">
        <v>205</v>
      </c>
      <c r="G277" s="4" t="s">
        <v>23</v>
      </c>
      <c r="H277" s="4" t="s">
        <v>16</v>
      </c>
      <c r="I277" s="5">
        <v>3</v>
      </c>
      <c r="J277" s="5">
        <v>209000</v>
      </c>
      <c r="K277" s="5">
        <v>145000</v>
      </c>
      <c r="L277" s="5">
        <v>627000</v>
      </c>
      <c r="M277" s="5">
        <v>192000</v>
      </c>
    </row>
    <row r="278" spans="1:13" x14ac:dyDescent="0.3">
      <c r="A278" s="5">
        <v>277</v>
      </c>
      <c r="B278" s="10">
        <v>46116</v>
      </c>
      <c r="C278" s="5">
        <v>108</v>
      </c>
      <c r="D278" s="4" t="s">
        <v>30</v>
      </c>
      <c r="E278" s="4" t="s">
        <v>31</v>
      </c>
      <c r="F278" s="5">
        <v>205</v>
      </c>
      <c r="G278" s="4" t="s">
        <v>23</v>
      </c>
      <c r="H278" s="4" t="s">
        <v>16</v>
      </c>
      <c r="I278" s="5">
        <v>4</v>
      </c>
      <c r="J278" s="5">
        <v>202400</v>
      </c>
      <c r="K278" s="5">
        <v>145000</v>
      </c>
      <c r="L278" s="5">
        <v>809600</v>
      </c>
      <c r="M278" s="5">
        <v>229600</v>
      </c>
    </row>
    <row r="279" spans="1:13" x14ac:dyDescent="0.3">
      <c r="A279" s="5">
        <v>278</v>
      </c>
      <c r="B279" s="10">
        <v>46116</v>
      </c>
      <c r="C279" s="5">
        <v>104</v>
      </c>
      <c r="D279" s="4" t="s">
        <v>25</v>
      </c>
      <c r="E279" s="4" t="s">
        <v>14</v>
      </c>
      <c r="F279" s="5">
        <v>206</v>
      </c>
      <c r="G279" s="4" t="s">
        <v>15</v>
      </c>
      <c r="H279" s="4" t="s">
        <v>16</v>
      </c>
      <c r="I279" s="5">
        <v>4</v>
      </c>
      <c r="J279" s="5">
        <v>332500</v>
      </c>
      <c r="K279" s="5">
        <v>235000</v>
      </c>
      <c r="L279" s="5">
        <v>1330000</v>
      </c>
      <c r="M279" s="5">
        <v>390000</v>
      </c>
    </row>
    <row r="280" spans="1:13" x14ac:dyDescent="0.3">
      <c r="A280" s="5">
        <v>279</v>
      </c>
      <c r="B280" s="10">
        <v>46116</v>
      </c>
      <c r="C280" s="5">
        <v>108</v>
      </c>
      <c r="D280" s="4" t="s">
        <v>30</v>
      </c>
      <c r="E280" s="4" t="s">
        <v>31</v>
      </c>
      <c r="F280" s="5">
        <v>204</v>
      </c>
      <c r="G280" s="4" t="s">
        <v>22</v>
      </c>
      <c r="H280" s="4" t="s">
        <v>21</v>
      </c>
      <c r="I280" s="5">
        <v>4</v>
      </c>
      <c r="J280" s="5">
        <v>53350</v>
      </c>
      <c r="K280" s="5">
        <v>33000</v>
      </c>
      <c r="L280" s="5">
        <v>213400</v>
      </c>
      <c r="M280" s="5">
        <v>81400</v>
      </c>
    </row>
    <row r="281" spans="1:13" x14ac:dyDescent="0.3">
      <c r="A281" s="5">
        <v>280</v>
      </c>
      <c r="B281" s="10">
        <v>46116</v>
      </c>
      <c r="C281" s="5">
        <v>108</v>
      </c>
      <c r="D281" s="4" t="s">
        <v>30</v>
      </c>
      <c r="E281" s="4" t="s">
        <v>31</v>
      </c>
      <c r="F281" s="5">
        <v>204</v>
      </c>
      <c r="G281" s="4" t="s">
        <v>22</v>
      </c>
      <c r="H281" s="4" t="s">
        <v>21</v>
      </c>
      <c r="I281" s="5">
        <v>4</v>
      </c>
      <c r="J281" s="5">
        <v>53350</v>
      </c>
      <c r="K281" s="5">
        <v>33000</v>
      </c>
      <c r="L281" s="5">
        <v>213400</v>
      </c>
      <c r="M281" s="5">
        <v>81400</v>
      </c>
    </row>
    <row r="282" spans="1:13" x14ac:dyDescent="0.3">
      <c r="A282" s="5">
        <v>281</v>
      </c>
      <c r="B282" s="10">
        <v>46117</v>
      </c>
      <c r="C282" s="5">
        <v>101</v>
      </c>
      <c r="D282" s="4" t="s">
        <v>13</v>
      </c>
      <c r="E282" s="4" t="s">
        <v>14</v>
      </c>
      <c r="F282" s="5">
        <v>201</v>
      </c>
      <c r="G282" s="4" t="s">
        <v>17</v>
      </c>
      <c r="H282" s="4" t="s">
        <v>18</v>
      </c>
      <c r="I282" s="5">
        <v>3</v>
      </c>
      <c r="J282" s="5">
        <v>807500</v>
      </c>
      <c r="K282" s="5">
        <v>680000</v>
      </c>
      <c r="L282" s="5">
        <v>2422500</v>
      </c>
      <c r="M282" s="5">
        <v>382500</v>
      </c>
    </row>
    <row r="283" spans="1:13" x14ac:dyDescent="0.3">
      <c r="A283" s="5">
        <v>282</v>
      </c>
      <c r="B283" s="10">
        <v>46117</v>
      </c>
      <c r="C283" s="5">
        <v>107</v>
      </c>
      <c r="D283" s="4" t="s">
        <v>24</v>
      </c>
      <c r="E283" s="4" t="s">
        <v>14</v>
      </c>
      <c r="F283" s="5">
        <v>203</v>
      </c>
      <c r="G283" s="4" t="s">
        <v>20</v>
      </c>
      <c r="H283" s="4" t="s">
        <v>21</v>
      </c>
      <c r="I283" s="5">
        <v>4</v>
      </c>
      <c r="J283" s="5">
        <v>90250</v>
      </c>
      <c r="K283" s="5">
        <v>62000</v>
      </c>
      <c r="L283" s="5">
        <v>361000</v>
      </c>
      <c r="M283" s="5">
        <v>113000</v>
      </c>
    </row>
    <row r="284" spans="1:13" x14ac:dyDescent="0.3">
      <c r="A284" s="5">
        <v>283</v>
      </c>
      <c r="B284" s="10">
        <v>46117</v>
      </c>
      <c r="C284" s="5">
        <v>108</v>
      </c>
      <c r="D284" s="4" t="s">
        <v>30</v>
      </c>
      <c r="E284" s="4" t="s">
        <v>31</v>
      </c>
      <c r="F284" s="5">
        <v>204</v>
      </c>
      <c r="G284" s="4" t="s">
        <v>22</v>
      </c>
      <c r="H284" s="4" t="s">
        <v>21</v>
      </c>
      <c r="I284" s="5">
        <v>3</v>
      </c>
      <c r="J284" s="5">
        <v>50600</v>
      </c>
      <c r="K284" s="5">
        <v>33000</v>
      </c>
      <c r="L284" s="5">
        <v>151800</v>
      </c>
      <c r="M284" s="5">
        <v>52800</v>
      </c>
    </row>
    <row r="285" spans="1:13" x14ac:dyDescent="0.3">
      <c r="A285" s="5">
        <v>284</v>
      </c>
      <c r="B285" s="10">
        <v>46117</v>
      </c>
      <c r="C285" s="5">
        <v>101</v>
      </c>
      <c r="D285" s="4" t="s">
        <v>13</v>
      </c>
      <c r="E285" s="4" t="s">
        <v>14</v>
      </c>
      <c r="F285" s="5">
        <v>206</v>
      </c>
      <c r="G285" s="4" t="s">
        <v>15</v>
      </c>
      <c r="H285" s="4" t="s">
        <v>16</v>
      </c>
      <c r="I285" s="5">
        <v>1</v>
      </c>
      <c r="J285" s="5">
        <v>339500</v>
      </c>
      <c r="K285" s="5">
        <v>235000</v>
      </c>
      <c r="L285" s="5">
        <v>339500</v>
      </c>
      <c r="M285" s="5">
        <v>104500</v>
      </c>
    </row>
    <row r="286" spans="1:13" x14ac:dyDescent="0.3">
      <c r="A286" s="5">
        <v>285</v>
      </c>
      <c r="B286" s="10">
        <v>46118</v>
      </c>
      <c r="C286" s="5">
        <v>106</v>
      </c>
      <c r="D286" s="4" t="s">
        <v>29</v>
      </c>
      <c r="E286" s="4" t="s">
        <v>28</v>
      </c>
      <c r="F286" s="5">
        <v>206</v>
      </c>
      <c r="G286" s="4" t="s">
        <v>15</v>
      </c>
      <c r="H286" s="4" t="s">
        <v>16</v>
      </c>
      <c r="I286" s="5">
        <v>4</v>
      </c>
      <c r="J286" s="5">
        <v>332500</v>
      </c>
      <c r="K286" s="5">
        <v>235000</v>
      </c>
      <c r="L286" s="5">
        <v>1330000</v>
      </c>
      <c r="M286" s="5">
        <v>390000</v>
      </c>
    </row>
    <row r="287" spans="1:13" x14ac:dyDescent="0.3">
      <c r="A287" s="5">
        <v>286</v>
      </c>
      <c r="B287" s="10">
        <v>46118</v>
      </c>
      <c r="C287" s="5">
        <v>103</v>
      </c>
      <c r="D287" s="4" t="s">
        <v>32</v>
      </c>
      <c r="E287" s="4" t="s">
        <v>31</v>
      </c>
      <c r="F287" s="5">
        <v>201</v>
      </c>
      <c r="G287" s="4" t="s">
        <v>17</v>
      </c>
      <c r="H287" s="4" t="s">
        <v>18</v>
      </c>
      <c r="I287" s="5">
        <v>1</v>
      </c>
      <c r="J287" s="5">
        <v>824500</v>
      </c>
      <c r="K287" s="5">
        <v>680000</v>
      </c>
      <c r="L287" s="5">
        <v>824500</v>
      </c>
      <c r="M287" s="5">
        <v>144500</v>
      </c>
    </row>
    <row r="288" spans="1:13" x14ac:dyDescent="0.3">
      <c r="A288" s="5">
        <v>287</v>
      </c>
      <c r="B288" s="10">
        <v>46118</v>
      </c>
      <c r="C288" s="5">
        <v>101</v>
      </c>
      <c r="D288" s="4" t="s">
        <v>13</v>
      </c>
      <c r="E288" s="4" t="s">
        <v>14</v>
      </c>
      <c r="F288" s="5">
        <v>204</v>
      </c>
      <c r="G288" s="4" t="s">
        <v>22</v>
      </c>
      <c r="H288" s="4" t="s">
        <v>21</v>
      </c>
      <c r="I288" s="5">
        <v>4</v>
      </c>
      <c r="J288" s="5">
        <v>50600</v>
      </c>
      <c r="K288" s="5">
        <v>33000</v>
      </c>
      <c r="L288" s="5">
        <v>202400</v>
      </c>
      <c r="M288" s="5">
        <v>70400</v>
      </c>
    </row>
    <row r="289" spans="1:13" x14ac:dyDescent="0.3">
      <c r="A289" s="5">
        <v>288</v>
      </c>
      <c r="B289" s="10">
        <v>46118</v>
      </c>
      <c r="C289" s="5">
        <v>104</v>
      </c>
      <c r="D289" s="4" t="s">
        <v>25</v>
      </c>
      <c r="E289" s="4" t="s">
        <v>14</v>
      </c>
      <c r="F289" s="5">
        <v>206</v>
      </c>
      <c r="G289" s="4" t="s">
        <v>15</v>
      </c>
      <c r="H289" s="4" t="s">
        <v>16</v>
      </c>
      <c r="I289" s="5">
        <v>5</v>
      </c>
      <c r="J289" s="5">
        <v>322000</v>
      </c>
      <c r="K289" s="5">
        <v>235000</v>
      </c>
      <c r="L289" s="5">
        <v>1610000</v>
      </c>
      <c r="M289" s="5">
        <v>435000</v>
      </c>
    </row>
    <row r="290" spans="1:13" x14ac:dyDescent="0.3">
      <c r="A290" s="5">
        <v>289</v>
      </c>
      <c r="B290" s="10">
        <v>46119</v>
      </c>
      <c r="C290" s="5">
        <v>103</v>
      </c>
      <c r="D290" s="4" t="s">
        <v>32</v>
      </c>
      <c r="E290" s="4" t="s">
        <v>31</v>
      </c>
      <c r="F290" s="5">
        <v>206</v>
      </c>
      <c r="G290" s="4" t="s">
        <v>15</v>
      </c>
      <c r="H290" s="4" t="s">
        <v>16</v>
      </c>
      <c r="I290" s="5">
        <v>2</v>
      </c>
      <c r="J290" s="5">
        <v>339500</v>
      </c>
      <c r="K290" s="5">
        <v>235000</v>
      </c>
      <c r="L290" s="5">
        <v>679000</v>
      </c>
      <c r="M290" s="5">
        <v>209000</v>
      </c>
    </row>
    <row r="291" spans="1:13" x14ac:dyDescent="0.3">
      <c r="A291" s="5">
        <v>290</v>
      </c>
      <c r="B291" s="10">
        <v>46119</v>
      </c>
      <c r="C291" s="5">
        <v>101</v>
      </c>
      <c r="D291" s="4" t="s">
        <v>13</v>
      </c>
      <c r="E291" s="4" t="s">
        <v>14</v>
      </c>
      <c r="F291" s="5">
        <v>205</v>
      </c>
      <c r="G291" s="4" t="s">
        <v>23</v>
      </c>
      <c r="H291" s="4" t="s">
        <v>16</v>
      </c>
      <c r="I291" s="5">
        <v>4</v>
      </c>
      <c r="J291" s="5">
        <v>220000</v>
      </c>
      <c r="K291" s="5">
        <v>145000</v>
      </c>
      <c r="L291" s="5">
        <v>880000</v>
      </c>
      <c r="M291" s="5">
        <v>300000</v>
      </c>
    </row>
    <row r="292" spans="1:13" x14ac:dyDescent="0.3">
      <c r="A292" s="5">
        <v>291</v>
      </c>
      <c r="B292" s="10">
        <v>46119</v>
      </c>
      <c r="C292" s="5">
        <v>102</v>
      </c>
      <c r="D292" s="4" t="s">
        <v>27</v>
      </c>
      <c r="E292" s="4" t="s">
        <v>28</v>
      </c>
      <c r="F292" s="5">
        <v>204</v>
      </c>
      <c r="G292" s="4" t="s">
        <v>22</v>
      </c>
      <c r="H292" s="4" t="s">
        <v>21</v>
      </c>
      <c r="I292" s="5">
        <v>3</v>
      </c>
      <c r="J292" s="5">
        <v>50600</v>
      </c>
      <c r="K292" s="5">
        <v>33000</v>
      </c>
      <c r="L292" s="5">
        <v>151800</v>
      </c>
      <c r="M292" s="5">
        <v>52800</v>
      </c>
    </row>
    <row r="293" spans="1:13" x14ac:dyDescent="0.3">
      <c r="A293" s="5">
        <v>292</v>
      </c>
      <c r="B293" s="10">
        <v>46120</v>
      </c>
      <c r="C293" s="5">
        <v>108</v>
      </c>
      <c r="D293" s="4" t="s">
        <v>30</v>
      </c>
      <c r="E293" s="4" t="s">
        <v>31</v>
      </c>
      <c r="F293" s="5">
        <v>203</v>
      </c>
      <c r="G293" s="4" t="s">
        <v>20</v>
      </c>
      <c r="H293" s="4" t="s">
        <v>21</v>
      </c>
      <c r="I293" s="5">
        <v>5</v>
      </c>
      <c r="J293" s="5">
        <v>95000</v>
      </c>
      <c r="K293" s="5">
        <v>62000</v>
      </c>
      <c r="L293" s="5">
        <v>475000</v>
      </c>
      <c r="M293" s="5">
        <v>165000</v>
      </c>
    </row>
    <row r="294" spans="1:13" x14ac:dyDescent="0.3">
      <c r="A294" s="5">
        <v>293</v>
      </c>
      <c r="B294" s="10">
        <v>46120</v>
      </c>
      <c r="C294" s="5">
        <v>101</v>
      </c>
      <c r="D294" s="4" t="s">
        <v>13</v>
      </c>
      <c r="E294" s="4" t="s">
        <v>14</v>
      </c>
      <c r="F294" s="5">
        <v>201</v>
      </c>
      <c r="G294" s="4" t="s">
        <v>17</v>
      </c>
      <c r="H294" s="4" t="s">
        <v>18</v>
      </c>
      <c r="I294" s="5">
        <v>2</v>
      </c>
      <c r="J294" s="5">
        <v>782000</v>
      </c>
      <c r="K294" s="5">
        <v>680000</v>
      </c>
      <c r="L294" s="5">
        <v>1564000</v>
      </c>
      <c r="M294" s="5">
        <v>204000</v>
      </c>
    </row>
    <row r="295" spans="1:13" x14ac:dyDescent="0.3">
      <c r="A295" s="5">
        <v>294</v>
      </c>
      <c r="B295" s="10">
        <v>46121</v>
      </c>
      <c r="C295" s="5">
        <v>103</v>
      </c>
      <c r="D295" s="4" t="s">
        <v>32</v>
      </c>
      <c r="E295" s="4" t="s">
        <v>31</v>
      </c>
      <c r="F295" s="5">
        <v>201</v>
      </c>
      <c r="G295" s="4" t="s">
        <v>17</v>
      </c>
      <c r="H295" s="4" t="s">
        <v>18</v>
      </c>
      <c r="I295" s="5">
        <v>5</v>
      </c>
      <c r="J295" s="5">
        <v>807500</v>
      </c>
      <c r="K295" s="5">
        <v>680000</v>
      </c>
      <c r="L295" s="5">
        <v>4037500</v>
      </c>
      <c r="M295" s="5">
        <v>637500</v>
      </c>
    </row>
    <row r="296" spans="1:13" x14ac:dyDescent="0.3">
      <c r="A296" s="5">
        <v>295</v>
      </c>
      <c r="B296" s="10">
        <v>46121</v>
      </c>
      <c r="C296" s="5">
        <v>107</v>
      </c>
      <c r="D296" s="4" t="s">
        <v>24</v>
      </c>
      <c r="E296" s="4" t="s">
        <v>14</v>
      </c>
      <c r="F296" s="5">
        <v>205</v>
      </c>
      <c r="G296" s="4" t="s">
        <v>23</v>
      </c>
      <c r="H296" s="4" t="s">
        <v>16</v>
      </c>
      <c r="I296" s="5">
        <v>4</v>
      </c>
      <c r="J296" s="5">
        <v>202400</v>
      </c>
      <c r="K296" s="5">
        <v>145000</v>
      </c>
      <c r="L296" s="5">
        <v>809600</v>
      </c>
      <c r="M296" s="5">
        <v>229600</v>
      </c>
    </row>
    <row r="297" spans="1:13" x14ac:dyDescent="0.3">
      <c r="A297" s="5">
        <v>296</v>
      </c>
      <c r="B297" s="10">
        <v>46122</v>
      </c>
      <c r="C297" s="5">
        <v>107</v>
      </c>
      <c r="D297" s="4" t="s">
        <v>24</v>
      </c>
      <c r="E297" s="4" t="s">
        <v>14</v>
      </c>
      <c r="F297" s="5">
        <v>205</v>
      </c>
      <c r="G297" s="4" t="s">
        <v>23</v>
      </c>
      <c r="H297" s="4" t="s">
        <v>16</v>
      </c>
      <c r="I297" s="5">
        <v>4</v>
      </c>
      <c r="J297" s="5">
        <v>213400</v>
      </c>
      <c r="K297" s="5">
        <v>145000</v>
      </c>
      <c r="L297" s="5">
        <v>853600</v>
      </c>
      <c r="M297" s="5">
        <v>273600</v>
      </c>
    </row>
    <row r="298" spans="1:13" x14ac:dyDescent="0.3">
      <c r="A298" s="5">
        <v>297</v>
      </c>
      <c r="B298" s="10">
        <v>46122</v>
      </c>
      <c r="C298" s="5">
        <v>107</v>
      </c>
      <c r="D298" s="4" t="s">
        <v>24</v>
      </c>
      <c r="E298" s="4" t="s">
        <v>14</v>
      </c>
      <c r="F298" s="5">
        <v>203</v>
      </c>
      <c r="G298" s="4" t="s">
        <v>20</v>
      </c>
      <c r="H298" s="4" t="s">
        <v>21</v>
      </c>
      <c r="I298" s="5">
        <v>1</v>
      </c>
      <c r="J298" s="5">
        <v>87400</v>
      </c>
      <c r="K298" s="5">
        <v>62000</v>
      </c>
      <c r="L298" s="5">
        <v>87400</v>
      </c>
      <c r="M298" s="5">
        <v>25400</v>
      </c>
    </row>
    <row r="299" spans="1:13" x14ac:dyDescent="0.3">
      <c r="A299" s="5">
        <v>298</v>
      </c>
      <c r="B299" s="10">
        <v>46123</v>
      </c>
      <c r="C299" s="5">
        <v>101</v>
      </c>
      <c r="D299" s="4" t="s">
        <v>13</v>
      </c>
      <c r="E299" s="4" t="s">
        <v>14</v>
      </c>
      <c r="F299" s="5">
        <v>204</v>
      </c>
      <c r="G299" s="4" t="s">
        <v>22</v>
      </c>
      <c r="H299" s="4" t="s">
        <v>21</v>
      </c>
      <c r="I299" s="5">
        <v>2</v>
      </c>
      <c r="J299" s="5">
        <v>50600</v>
      </c>
      <c r="K299" s="5">
        <v>33000</v>
      </c>
      <c r="L299" s="5">
        <v>101200</v>
      </c>
      <c r="M299" s="5">
        <v>35200</v>
      </c>
    </row>
    <row r="300" spans="1:13" x14ac:dyDescent="0.3">
      <c r="A300" s="5">
        <v>299</v>
      </c>
      <c r="B300" s="10">
        <v>46123</v>
      </c>
      <c r="C300" s="5">
        <v>104</v>
      </c>
      <c r="D300" s="4" t="s">
        <v>25</v>
      </c>
      <c r="E300" s="4" t="s">
        <v>14</v>
      </c>
      <c r="F300" s="5">
        <v>201</v>
      </c>
      <c r="G300" s="4" t="s">
        <v>17</v>
      </c>
      <c r="H300" s="4" t="s">
        <v>18</v>
      </c>
      <c r="I300" s="5">
        <v>5</v>
      </c>
      <c r="J300" s="5">
        <v>807500</v>
      </c>
      <c r="K300" s="5">
        <v>680000</v>
      </c>
      <c r="L300" s="5">
        <v>4037500</v>
      </c>
      <c r="M300" s="5">
        <v>637500</v>
      </c>
    </row>
    <row r="301" spans="1:13" x14ac:dyDescent="0.3">
      <c r="A301" s="5">
        <v>300</v>
      </c>
      <c r="B301" s="10">
        <v>46124</v>
      </c>
      <c r="C301" s="5">
        <v>106</v>
      </c>
      <c r="D301" s="4" t="s">
        <v>29</v>
      </c>
      <c r="E301" s="4" t="s">
        <v>28</v>
      </c>
      <c r="F301" s="5">
        <v>204</v>
      </c>
      <c r="G301" s="4" t="s">
        <v>22</v>
      </c>
      <c r="H301" s="4" t="s">
        <v>21</v>
      </c>
      <c r="I301" s="5">
        <v>1</v>
      </c>
      <c r="J301" s="5">
        <v>50600</v>
      </c>
      <c r="K301" s="5">
        <v>33000</v>
      </c>
      <c r="L301" s="5">
        <v>50600</v>
      </c>
      <c r="M301" s="5">
        <v>17600</v>
      </c>
    </row>
    <row r="302" spans="1:13" x14ac:dyDescent="0.3">
      <c r="A302" s="5">
        <v>301</v>
      </c>
      <c r="B302" s="10">
        <v>46124</v>
      </c>
      <c r="C302" s="5">
        <v>104</v>
      </c>
      <c r="D302" s="4" t="s">
        <v>25</v>
      </c>
      <c r="E302" s="4" t="s">
        <v>14</v>
      </c>
      <c r="F302" s="5">
        <v>205</v>
      </c>
      <c r="G302" s="4" t="s">
        <v>23</v>
      </c>
      <c r="H302" s="4" t="s">
        <v>16</v>
      </c>
      <c r="I302" s="5">
        <v>5</v>
      </c>
      <c r="J302" s="5">
        <v>209000</v>
      </c>
      <c r="K302" s="5">
        <v>145000</v>
      </c>
      <c r="L302" s="5">
        <v>1045000</v>
      </c>
      <c r="M302" s="5">
        <v>320000</v>
      </c>
    </row>
    <row r="303" spans="1:13" x14ac:dyDescent="0.3">
      <c r="A303" s="5">
        <v>302</v>
      </c>
      <c r="B303" s="10">
        <v>46125</v>
      </c>
      <c r="C303" s="5">
        <v>103</v>
      </c>
      <c r="D303" s="4" t="s">
        <v>32</v>
      </c>
      <c r="E303" s="4" t="s">
        <v>31</v>
      </c>
      <c r="F303" s="5">
        <v>202</v>
      </c>
      <c r="G303" s="4" t="s">
        <v>19</v>
      </c>
      <c r="H303" s="4" t="s">
        <v>18</v>
      </c>
      <c r="I303" s="5">
        <v>3</v>
      </c>
      <c r="J303" s="5">
        <v>257600</v>
      </c>
      <c r="K303" s="5">
        <v>210000</v>
      </c>
      <c r="L303" s="5">
        <v>772800</v>
      </c>
      <c r="M303" s="5">
        <v>142800</v>
      </c>
    </row>
    <row r="304" spans="1:13" x14ac:dyDescent="0.3">
      <c r="A304" s="5">
        <v>303</v>
      </c>
      <c r="B304" s="10">
        <v>46125</v>
      </c>
      <c r="C304" s="5">
        <v>105</v>
      </c>
      <c r="D304" s="4" t="s">
        <v>33</v>
      </c>
      <c r="E304" s="4" t="s">
        <v>34</v>
      </c>
      <c r="F304" s="5">
        <v>203</v>
      </c>
      <c r="G304" s="4" t="s">
        <v>20</v>
      </c>
      <c r="H304" s="4" t="s">
        <v>21</v>
      </c>
      <c r="I304" s="5">
        <v>4</v>
      </c>
      <c r="J304" s="5">
        <v>87400</v>
      </c>
      <c r="K304" s="5">
        <v>62000</v>
      </c>
      <c r="L304" s="5">
        <v>349600</v>
      </c>
      <c r="M304" s="5">
        <v>101600</v>
      </c>
    </row>
    <row r="305" spans="1:13" x14ac:dyDescent="0.3">
      <c r="A305" s="5">
        <v>304</v>
      </c>
      <c r="B305" s="10">
        <v>46125</v>
      </c>
      <c r="C305" s="5">
        <v>108</v>
      </c>
      <c r="D305" s="4" t="s">
        <v>30</v>
      </c>
      <c r="E305" s="4" t="s">
        <v>31</v>
      </c>
      <c r="F305" s="5">
        <v>202</v>
      </c>
      <c r="G305" s="4" t="s">
        <v>19</v>
      </c>
      <c r="H305" s="4" t="s">
        <v>18</v>
      </c>
      <c r="I305" s="5">
        <v>4</v>
      </c>
      <c r="J305" s="5">
        <v>266000</v>
      </c>
      <c r="K305" s="5">
        <v>210000</v>
      </c>
      <c r="L305" s="5">
        <v>1064000</v>
      </c>
      <c r="M305" s="5">
        <v>224000</v>
      </c>
    </row>
    <row r="306" spans="1:13" x14ac:dyDescent="0.3">
      <c r="A306" s="5">
        <v>305</v>
      </c>
      <c r="B306" s="10">
        <v>46125</v>
      </c>
      <c r="C306" s="5">
        <v>104</v>
      </c>
      <c r="D306" s="4" t="s">
        <v>25</v>
      </c>
      <c r="E306" s="4" t="s">
        <v>14</v>
      </c>
      <c r="F306" s="5">
        <v>203</v>
      </c>
      <c r="G306" s="4" t="s">
        <v>20</v>
      </c>
      <c r="H306" s="4" t="s">
        <v>21</v>
      </c>
      <c r="I306" s="5">
        <v>1</v>
      </c>
      <c r="J306" s="5">
        <v>92150</v>
      </c>
      <c r="K306" s="5">
        <v>62000</v>
      </c>
      <c r="L306" s="5">
        <v>92150</v>
      </c>
      <c r="M306" s="5">
        <v>30150</v>
      </c>
    </row>
    <row r="307" spans="1:13" x14ac:dyDescent="0.3">
      <c r="A307" s="5">
        <v>306</v>
      </c>
      <c r="B307" s="10">
        <v>46126</v>
      </c>
      <c r="C307" s="5">
        <v>108</v>
      </c>
      <c r="D307" s="4" t="s">
        <v>30</v>
      </c>
      <c r="E307" s="4" t="s">
        <v>31</v>
      </c>
      <c r="F307" s="5">
        <v>206</v>
      </c>
      <c r="G307" s="4" t="s">
        <v>15</v>
      </c>
      <c r="H307" s="4" t="s">
        <v>16</v>
      </c>
      <c r="I307" s="5">
        <v>1</v>
      </c>
      <c r="J307" s="5">
        <v>332500</v>
      </c>
      <c r="K307" s="5">
        <v>235000</v>
      </c>
      <c r="L307" s="5">
        <v>332500</v>
      </c>
      <c r="M307" s="5">
        <v>97500</v>
      </c>
    </row>
    <row r="308" spans="1:13" x14ac:dyDescent="0.3">
      <c r="A308" s="5">
        <v>307</v>
      </c>
      <c r="B308" s="10">
        <v>46126</v>
      </c>
      <c r="C308" s="5">
        <v>101</v>
      </c>
      <c r="D308" s="4" t="s">
        <v>13</v>
      </c>
      <c r="E308" s="4" t="s">
        <v>14</v>
      </c>
      <c r="F308" s="5">
        <v>205</v>
      </c>
      <c r="G308" s="4" t="s">
        <v>23</v>
      </c>
      <c r="H308" s="4" t="s">
        <v>16</v>
      </c>
      <c r="I308" s="5">
        <v>2</v>
      </c>
      <c r="J308" s="5">
        <v>213400</v>
      </c>
      <c r="K308" s="5">
        <v>145000</v>
      </c>
      <c r="L308" s="5">
        <v>426800</v>
      </c>
      <c r="M308" s="5">
        <v>136800</v>
      </c>
    </row>
    <row r="309" spans="1:13" x14ac:dyDescent="0.3">
      <c r="A309" s="5">
        <v>308</v>
      </c>
      <c r="B309" s="10">
        <v>46126</v>
      </c>
      <c r="C309" s="5">
        <v>106</v>
      </c>
      <c r="D309" s="4" t="s">
        <v>29</v>
      </c>
      <c r="E309" s="4" t="s">
        <v>28</v>
      </c>
      <c r="F309" s="5">
        <v>203</v>
      </c>
      <c r="G309" s="4" t="s">
        <v>20</v>
      </c>
      <c r="H309" s="4" t="s">
        <v>21</v>
      </c>
      <c r="I309" s="5">
        <v>5</v>
      </c>
      <c r="J309" s="5">
        <v>90250</v>
      </c>
      <c r="K309" s="5">
        <v>62000</v>
      </c>
      <c r="L309" s="5">
        <v>451250</v>
      </c>
      <c r="M309" s="5">
        <v>141250</v>
      </c>
    </row>
    <row r="310" spans="1:13" x14ac:dyDescent="0.3">
      <c r="A310" s="5">
        <v>309</v>
      </c>
      <c r="B310" s="10">
        <v>46127</v>
      </c>
      <c r="C310" s="5">
        <v>106</v>
      </c>
      <c r="D310" s="4" t="s">
        <v>29</v>
      </c>
      <c r="E310" s="4" t="s">
        <v>28</v>
      </c>
      <c r="F310" s="5">
        <v>202</v>
      </c>
      <c r="G310" s="4" t="s">
        <v>19</v>
      </c>
      <c r="H310" s="4" t="s">
        <v>18</v>
      </c>
      <c r="I310" s="5">
        <v>4</v>
      </c>
      <c r="J310" s="5">
        <v>271600</v>
      </c>
      <c r="K310" s="5">
        <v>210000</v>
      </c>
      <c r="L310" s="5">
        <v>1086400</v>
      </c>
      <c r="M310" s="5">
        <v>246400</v>
      </c>
    </row>
    <row r="311" spans="1:13" x14ac:dyDescent="0.3">
      <c r="A311" s="5">
        <v>310</v>
      </c>
      <c r="B311" s="10">
        <v>46127</v>
      </c>
      <c r="C311" s="5">
        <v>105</v>
      </c>
      <c r="D311" s="4" t="s">
        <v>33</v>
      </c>
      <c r="E311" s="4" t="s">
        <v>34</v>
      </c>
      <c r="F311" s="5">
        <v>201</v>
      </c>
      <c r="G311" s="4" t="s">
        <v>17</v>
      </c>
      <c r="H311" s="4" t="s">
        <v>18</v>
      </c>
      <c r="I311" s="5">
        <v>1</v>
      </c>
      <c r="J311" s="5">
        <v>807500</v>
      </c>
      <c r="K311" s="5">
        <v>680000</v>
      </c>
      <c r="L311" s="5">
        <v>807500</v>
      </c>
      <c r="M311" s="5">
        <v>127500</v>
      </c>
    </row>
    <row r="312" spans="1:13" x14ac:dyDescent="0.3">
      <c r="A312" s="5">
        <v>311</v>
      </c>
      <c r="B312" s="10">
        <v>46127</v>
      </c>
      <c r="C312" s="5">
        <v>102</v>
      </c>
      <c r="D312" s="4" t="s">
        <v>27</v>
      </c>
      <c r="E312" s="4" t="s">
        <v>28</v>
      </c>
      <c r="F312" s="5">
        <v>206</v>
      </c>
      <c r="G312" s="4" t="s">
        <v>15</v>
      </c>
      <c r="H312" s="4" t="s">
        <v>16</v>
      </c>
      <c r="I312" s="5">
        <v>5</v>
      </c>
      <c r="J312" s="5">
        <v>332500</v>
      </c>
      <c r="K312" s="5">
        <v>235000</v>
      </c>
      <c r="L312" s="5">
        <v>1662500</v>
      </c>
      <c r="M312" s="5">
        <v>487500</v>
      </c>
    </row>
    <row r="313" spans="1:13" x14ac:dyDescent="0.3">
      <c r="A313" s="5">
        <v>312</v>
      </c>
      <c r="B313" s="10">
        <v>46127</v>
      </c>
      <c r="C313" s="5">
        <v>106</v>
      </c>
      <c r="D313" s="4" t="s">
        <v>29</v>
      </c>
      <c r="E313" s="4" t="s">
        <v>28</v>
      </c>
      <c r="F313" s="5">
        <v>204</v>
      </c>
      <c r="G313" s="4" t="s">
        <v>22</v>
      </c>
      <c r="H313" s="4" t="s">
        <v>21</v>
      </c>
      <c r="I313" s="5">
        <v>1</v>
      </c>
      <c r="J313" s="5">
        <v>53350</v>
      </c>
      <c r="K313" s="5">
        <v>33000</v>
      </c>
      <c r="L313" s="5">
        <v>53350</v>
      </c>
      <c r="M313" s="5">
        <v>20350</v>
      </c>
    </row>
    <row r="314" spans="1:13" x14ac:dyDescent="0.3">
      <c r="A314" s="5">
        <v>313</v>
      </c>
      <c r="B314" s="10">
        <v>46128</v>
      </c>
      <c r="C314" s="5">
        <v>108</v>
      </c>
      <c r="D314" s="4" t="s">
        <v>30</v>
      </c>
      <c r="E314" s="4" t="s">
        <v>31</v>
      </c>
      <c r="F314" s="5">
        <v>202</v>
      </c>
      <c r="G314" s="4" t="s">
        <v>19</v>
      </c>
      <c r="H314" s="4" t="s">
        <v>18</v>
      </c>
      <c r="I314" s="5">
        <v>3</v>
      </c>
      <c r="J314" s="5">
        <v>271600</v>
      </c>
      <c r="K314" s="5">
        <v>210000</v>
      </c>
      <c r="L314" s="5">
        <v>814800</v>
      </c>
      <c r="M314" s="5">
        <v>184800</v>
      </c>
    </row>
    <row r="315" spans="1:13" x14ac:dyDescent="0.3">
      <c r="A315" s="5">
        <v>314</v>
      </c>
      <c r="B315" s="10">
        <v>46128</v>
      </c>
      <c r="C315" s="5">
        <v>102</v>
      </c>
      <c r="D315" s="4" t="s">
        <v>27</v>
      </c>
      <c r="E315" s="4" t="s">
        <v>28</v>
      </c>
      <c r="F315" s="5">
        <v>201</v>
      </c>
      <c r="G315" s="4" t="s">
        <v>17</v>
      </c>
      <c r="H315" s="4" t="s">
        <v>18</v>
      </c>
      <c r="I315" s="5">
        <v>2</v>
      </c>
      <c r="J315" s="5">
        <v>850000</v>
      </c>
      <c r="K315" s="5">
        <v>680000</v>
      </c>
      <c r="L315" s="5">
        <v>1700000</v>
      </c>
      <c r="M315" s="5">
        <v>340000</v>
      </c>
    </row>
    <row r="316" spans="1:13" x14ac:dyDescent="0.3">
      <c r="A316" s="5">
        <v>315</v>
      </c>
      <c r="B316" s="10">
        <v>46128</v>
      </c>
      <c r="C316" s="5">
        <v>101</v>
      </c>
      <c r="D316" s="4" t="s">
        <v>13</v>
      </c>
      <c r="E316" s="4" t="s">
        <v>14</v>
      </c>
      <c r="F316" s="5">
        <v>203</v>
      </c>
      <c r="G316" s="4" t="s">
        <v>20</v>
      </c>
      <c r="H316" s="4" t="s">
        <v>21</v>
      </c>
      <c r="I316" s="5">
        <v>2</v>
      </c>
      <c r="J316" s="5">
        <v>90250</v>
      </c>
      <c r="K316" s="5">
        <v>62000</v>
      </c>
      <c r="L316" s="5">
        <v>180500</v>
      </c>
      <c r="M316" s="5">
        <v>56500</v>
      </c>
    </row>
    <row r="317" spans="1:13" x14ac:dyDescent="0.3">
      <c r="A317" s="5">
        <v>316</v>
      </c>
      <c r="B317" s="10">
        <v>46129</v>
      </c>
      <c r="C317" s="5">
        <v>103</v>
      </c>
      <c r="D317" s="4" t="s">
        <v>32</v>
      </c>
      <c r="E317" s="4" t="s">
        <v>31</v>
      </c>
      <c r="F317" s="5">
        <v>203</v>
      </c>
      <c r="G317" s="4" t="s">
        <v>20</v>
      </c>
      <c r="H317" s="4" t="s">
        <v>21</v>
      </c>
      <c r="I317" s="5">
        <v>5</v>
      </c>
      <c r="J317" s="5">
        <v>90250</v>
      </c>
      <c r="K317" s="5">
        <v>62000</v>
      </c>
      <c r="L317" s="5">
        <v>451250</v>
      </c>
      <c r="M317" s="5">
        <v>141250</v>
      </c>
    </row>
    <row r="318" spans="1:13" x14ac:dyDescent="0.3">
      <c r="A318" s="5">
        <v>317</v>
      </c>
      <c r="B318" s="10">
        <v>46129</v>
      </c>
      <c r="C318" s="5">
        <v>108</v>
      </c>
      <c r="D318" s="4" t="s">
        <v>30</v>
      </c>
      <c r="E318" s="4" t="s">
        <v>31</v>
      </c>
      <c r="F318" s="5">
        <v>203</v>
      </c>
      <c r="G318" s="4" t="s">
        <v>20</v>
      </c>
      <c r="H318" s="4" t="s">
        <v>21</v>
      </c>
      <c r="I318" s="5">
        <v>3</v>
      </c>
      <c r="J318" s="5">
        <v>92150</v>
      </c>
      <c r="K318" s="5">
        <v>62000</v>
      </c>
      <c r="L318" s="5">
        <v>276450</v>
      </c>
      <c r="M318" s="5">
        <v>90450</v>
      </c>
    </row>
    <row r="319" spans="1:13" x14ac:dyDescent="0.3">
      <c r="A319" s="5">
        <v>318</v>
      </c>
      <c r="B319" s="10">
        <v>46130</v>
      </c>
      <c r="C319" s="5">
        <v>108</v>
      </c>
      <c r="D319" s="4" t="s">
        <v>30</v>
      </c>
      <c r="E319" s="4" t="s">
        <v>31</v>
      </c>
      <c r="F319" s="5">
        <v>206</v>
      </c>
      <c r="G319" s="4" t="s">
        <v>15</v>
      </c>
      <c r="H319" s="4" t="s">
        <v>16</v>
      </c>
      <c r="I319" s="5">
        <v>4</v>
      </c>
      <c r="J319" s="5">
        <v>332500</v>
      </c>
      <c r="K319" s="5">
        <v>235000</v>
      </c>
      <c r="L319" s="5">
        <v>1330000</v>
      </c>
      <c r="M319" s="5">
        <v>390000</v>
      </c>
    </row>
    <row r="320" spans="1:13" x14ac:dyDescent="0.3">
      <c r="A320" s="5">
        <v>319</v>
      </c>
      <c r="B320" s="10">
        <v>46130</v>
      </c>
      <c r="C320" s="5">
        <v>105</v>
      </c>
      <c r="D320" s="4" t="s">
        <v>33</v>
      </c>
      <c r="E320" s="4" t="s">
        <v>34</v>
      </c>
      <c r="F320" s="5">
        <v>206</v>
      </c>
      <c r="G320" s="4" t="s">
        <v>15</v>
      </c>
      <c r="H320" s="4" t="s">
        <v>16</v>
      </c>
      <c r="I320" s="5">
        <v>2</v>
      </c>
      <c r="J320" s="5">
        <v>339500</v>
      </c>
      <c r="K320" s="5">
        <v>235000</v>
      </c>
      <c r="L320" s="5">
        <v>679000</v>
      </c>
      <c r="M320" s="5">
        <v>209000</v>
      </c>
    </row>
    <row r="321" spans="1:13" x14ac:dyDescent="0.3">
      <c r="A321" s="5">
        <v>320</v>
      </c>
      <c r="B321" s="10">
        <v>46130</v>
      </c>
      <c r="C321" s="5">
        <v>108</v>
      </c>
      <c r="D321" s="4" t="s">
        <v>30</v>
      </c>
      <c r="E321" s="4" t="s">
        <v>31</v>
      </c>
      <c r="F321" s="5">
        <v>203</v>
      </c>
      <c r="G321" s="4" t="s">
        <v>20</v>
      </c>
      <c r="H321" s="4" t="s">
        <v>21</v>
      </c>
      <c r="I321" s="5">
        <v>2</v>
      </c>
      <c r="J321" s="5">
        <v>90250</v>
      </c>
      <c r="K321" s="5">
        <v>62000</v>
      </c>
      <c r="L321" s="5">
        <v>180500</v>
      </c>
      <c r="M321" s="5">
        <v>56500</v>
      </c>
    </row>
    <row r="322" spans="1:13" x14ac:dyDescent="0.3">
      <c r="A322" s="5">
        <v>321</v>
      </c>
      <c r="B322" s="10">
        <v>46130</v>
      </c>
      <c r="C322" s="5">
        <v>103</v>
      </c>
      <c r="D322" s="4" t="s">
        <v>32</v>
      </c>
      <c r="E322" s="4" t="s">
        <v>31</v>
      </c>
      <c r="F322" s="5">
        <v>206</v>
      </c>
      <c r="G322" s="4" t="s">
        <v>15</v>
      </c>
      <c r="H322" s="4" t="s">
        <v>16</v>
      </c>
      <c r="I322" s="5">
        <v>5</v>
      </c>
      <c r="J322" s="5">
        <v>339500</v>
      </c>
      <c r="K322" s="5">
        <v>235000</v>
      </c>
      <c r="L322" s="5">
        <v>1697500</v>
      </c>
      <c r="M322" s="5">
        <v>522500</v>
      </c>
    </row>
    <row r="323" spans="1:13" x14ac:dyDescent="0.3">
      <c r="A323" s="5">
        <v>322</v>
      </c>
      <c r="B323" s="10">
        <v>46131</v>
      </c>
      <c r="C323" s="5">
        <v>108</v>
      </c>
      <c r="D323" s="4" t="s">
        <v>30</v>
      </c>
      <c r="E323" s="4" t="s">
        <v>31</v>
      </c>
      <c r="F323" s="5">
        <v>205</v>
      </c>
      <c r="G323" s="4" t="s">
        <v>23</v>
      </c>
      <c r="H323" s="4" t="s">
        <v>16</v>
      </c>
      <c r="I323" s="5">
        <v>2</v>
      </c>
      <c r="J323" s="5">
        <v>209000</v>
      </c>
      <c r="K323" s="5">
        <v>145000</v>
      </c>
      <c r="L323" s="5">
        <v>418000</v>
      </c>
      <c r="M323" s="5">
        <v>128000</v>
      </c>
    </row>
    <row r="324" spans="1:13" x14ac:dyDescent="0.3">
      <c r="A324" s="5">
        <v>323</v>
      </c>
      <c r="B324" s="10">
        <v>46131</v>
      </c>
      <c r="C324" s="5">
        <v>105</v>
      </c>
      <c r="D324" s="4" t="s">
        <v>33</v>
      </c>
      <c r="E324" s="4" t="s">
        <v>34</v>
      </c>
      <c r="F324" s="5">
        <v>204</v>
      </c>
      <c r="G324" s="4" t="s">
        <v>22</v>
      </c>
      <c r="H324" s="4" t="s">
        <v>21</v>
      </c>
      <c r="I324" s="5">
        <v>1</v>
      </c>
      <c r="J324" s="5">
        <v>53350</v>
      </c>
      <c r="K324" s="5">
        <v>33000</v>
      </c>
      <c r="L324" s="5">
        <v>53350</v>
      </c>
      <c r="M324" s="5">
        <v>20350</v>
      </c>
    </row>
    <row r="325" spans="1:13" x14ac:dyDescent="0.3">
      <c r="A325" s="5">
        <v>324</v>
      </c>
      <c r="B325" s="10">
        <v>46131</v>
      </c>
      <c r="C325" s="5">
        <v>107</v>
      </c>
      <c r="D325" s="4" t="s">
        <v>24</v>
      </c>
      <c r="E325" s="4" t="s">
        <v>14</v>
      </c>
      <c r="F325" s="5">
        <v>202</v>
      </c>
      <c r="G325" s="4" t="s">
        <v>19</v>
      </c>
      <c r="H325" s="4" t="s">
        <v>18</v>
      </c>
      <c r="I325" s="5">
        <v>2</v>
      </c>
      <c r="J325" s="5">
        <v>271600</v>
      </c>
      <c r="K325" s="5">
        <v>210000</v>
      </c>
      <c r="L325" s="5">
        <v>543200</v>
      </c>
      <c r="M325" s="5">
        <v>123200</v>
      </c>
    </row>
    <row r="326" spans="1:13" x14ac:dyDescent="0.3">
      <c r="A326" s="5">
        <v>325</v>
      </c>
      <c r="B326" s="10">
        <v>46132</v>
      </c>
      <c r="C326" s="5">
        <v>102</v>
      </c>
      <c r="D326" s="4" t="s">
        <v>27</v>
      </c>
      <c r="E326" s="4" t="s">
        <v>28</v>
      </c>
      <c r="F326" s="5">
        <v>203</v>
      </c>
      <c r="G326" s="4" t="s">
        <v>20</v>
      </c>
      <c r="H326" s="4" t="s">
        <v>21</v>
      </c>
      <c r="I326" s="5">
        <v>5</v>
      </c>
      <c r="J326" s="5">
        <v>95000</v>
      </c>
      <c r="K326" s="5">
        <v>62000</v>
      </c>
      <c r="L326" s="5">
        <v>475000</v>
      </c>
      <c r="M326" s="5">
        <v>165000</v>
      </c>
    </row>
    <row r="327" spans="1:13" x14ac:dyDescent="0.3">
      <c r="A327" s="5">
        <v>326</v>
      </c>
      <c r="B327" s="10">
        <v>46132</v>
      </c>
      <c r="C327" s="5">
        <v>103</v>
      </c>
      <c r="D327" s="4" t="s">
        <v>32</v>
      </c>
      <c r="E327" s="4" t="s">
        <v>31</v>
      </c>
      <c r="F327" s="5">
        <v>201</v>
      </c>
      <c r="G327" s="4" t="s">
        <v>17</v>
      </c>
      <c r="H327" s="4" t="s">
        <v>18</v>
      </c>
      <c r="I327" s="5">
        <v>3</v>
      </c>
      <c r="J327" s="5">
        <v>824500</v>
      </c>
      <c r="K327" s="5">
        <v>680000</v>
      </c>
      <c r="L327" s="5">
        <v>2473500</v>
      </c>
      <c r="M327" s="5">
        <v>433500</v>
      </c>
    </row>
    <row r="328" spans="1:13" x14ac:dyDescent="0.3">
      <c r="A328" s="5">
        <v>327</v>
      </c>
      <c r="B328" s="10">
        <v>46133</v>
      </c>
      <c r="C328" s="5">
        <v>105</v>
      </c>
      <c r="D328" s="4" t="s">
        <v>33</v>
      </c>
      <c r="E328" s="4" t="s">
        <v>34</v>
      </c>
      <c r="F328" s="5">
        <v>205</v>
      </c>
      <c r="G328" s="4" t="s">
        <v>23</v>
      </c>
      <c r="H328" s="4" t="s">
        <v>16</v>
      </c>
      <c r="I328" s="5">
        <v>4</v>
      </c>
      <c r="J328" s="5">
        <v>213400</v>
      </c>
      <c r="K328" s="5">
        <v>145000</v>
      </c>
      <c r="L328" s="5">
        <v>853600</v>
      </c>
      <c r="M328" s="5">
        <v>273600</v>
      </c>
    </row>
    <row r="329" spans="1:13" x14ac:dyDescent="0.3">
      <c r="A329" s="5">
        <v>328</v>
      </c>
      <c r="B329" s="10">
        <v>46133</v>
      </c>
      <c r="C329" s="5">
        <v>107</v>
      </c>
      <c r="D329" s="4" t="s">
        <v>24</v>
      </c>
      <c r="E329" s="4" t="s">
        <v>14</v>
      </c>
      <c r="F329" s="5">
        <v>203</v>
      </c>
      <c r="G329" s="4" t="s">
        <v>20</v>
      </c>
      <c r="H329" s="4" t="s">
        <v>21</v>
      </c>
      <c r="I329" s="5">
        <v>5</v>
      </c>
      <c r="J329" s="5">
        <v>87400</v>
      </c>
      <c r="K329" s="5">
        <v>62000</v>
      </c>
      <c r="L329" s="5">
        <v>437000</v>
      </c>
      <c r="M329" s="5">
        <v>127000</v>
      </c>
    </row>
    <row r="330" spans="1:13" x14ac:dyDescent="0.3">
      <c r="A330" s="5">
        <v>329</v>
      </c>
      <c r="B330" s="10">
        <v>46133</v>
      </c>
      <c r="C330" s="5">
        <v>105</v>
      </c>
      <c r="D330" s="4" t="s">
        <v>33</v>
      </c>
      <c r="E330" s="4" t="s">
        <v>34</v>
      </c>
      <c r="F330" s="5">
        <v>205</v>
      </c>
      <c r="G330" s="4" t="s">
        <v>23</v>
      </c>
      <c r="H330" s="4" t="s">
        <v>16</v>
      </c>
      <c r="I330" s="5">
        <v>2</v>
      </c>
      <c r="J330" s="5">
        <v>202400</v>
      </c>
      <c r="K330" s="5">
        <v>145000</v>
      </c>
      <c r="L330" s="5">
        <v>404800</v>
      </c>
      <c r="M330" s="5">
        <v>114800</v>
      </c>
    </row>
    <row r="331" spans="1:13" x14ac:dyDescent="0.3">
      <c r="A331" s="5">
        <v>330</v>
      </c>
      <c r="B331" s="10">
        <v>46133</v>
      </c>
      <c r="C331" s="5">
        <v>106</v>
      </c>
      <c r="D331" s="4" t="s">
        <v>29</v>
      </c>
      <c r="E331" s="4" t="s">
        <v>28</v>
      </c>
      <c r="F331" s="5">
        <v>206</v>
      </c>
      <c r="G331" s="4" t="s">
        <v>15</v>
      </c>
      <c r="H331" s="4" t="s">
        <v>16</v>
      </c>
      <c r="I331" s="5">
        <v>2</v>
      </c>
      <c r="J331" s="5">
        <v>322000</v>
      </c>
      <c r="K331" s="5">
        <v>235000</v>
      </c>
      <c r="L331" s="5">
        <v>644000</v>
      </c>
      <c r="M331" s="5">
        <v>174000</v>
      </c>
    </row>
    <row r="332" spans="1:13" x14ac:dyDescent="0.3">
      <c r="A332" s="5">
        <v>331</v>
      </c>
      <c r="B332" s="10">
        <v>46134</v>
      </c>
      <c r="C332" s="5">
        <v>102</v>
      </c>
      <c r="D332" s="4" t="s">
        <v>27</v>
      </c>
      <c r="E332" s="4" t="s">
        <v>28</v>
      </c>
      <c r="F332" s="5">
        <v>202</v>
      </c>
      <c r="G332" s="4" t="s">
        <v>19</v>
      </c>
      <c r="H332" s="4" t="s">
        <v>18</v>
      </c>
      <c r="I332" s="5">
        <v>3</v>
      </c>
      <c r="J332" s="5">
        <v>271600</v>
      </c>
      <c r="K332" s="5">
        <v>210000</v>
      </c>
      <c r="L332" s="5">
        <v>814800</v>
      </c>
      <c r="M332" s="5">
        <v>184800</v>
      </c>
    </row>
    <row r="333" spans="1:13" x14ac:dyDescent="0.3">
      <c r="A333" s="5">
        <v>332</v>
      </c>
      <c r="B333" s="10">
        <v>46134</v>
      </c>
      <c r="C333" s="5">
        <v>101</v>
      </c>
      <c r="D333" s="4" t="s">
        <v>13</v>
      </c>
      <c r="E333" s="4" t="s">
        <v>14</v>
      </c>
      <c r="F333" s="5">
        <v>203</v>
      </c>
      <c r="G333" s="4" t="s">
        <v>20</v>
      </c>
      <c r="H333" s="4" t="s">
        <v>21</v>
      </c>
      <c r="I333" s="5">
        <v>4</v>
      </c>
      <c r="J333" s="5">
        <v>92150</v>
      </c>
      <c r="K333" s="5">
        <v>62000</v>
      </c>
      <c r="L333" s="5">
        <v>368600</v>
      </c>
      <c r="M333" s="5">
        <v>120600</v>
      </c>
    </row>
    <row r="334" spans="1:13" x14ac:dyDescent="0.3">
      <c r="A334" s="5">
        <v>333</v>
      </c>
      <c r="B334" s="10">
        <v>46134</v>
      </c>
      <c r="C334" s="5">
        <v>108</v>
      </c>
      <c r="D334" s="4" t="s">
        <v>30</v>
      </c>
      <c r="E334" s="4" t="s">
        <v>31</v>
      </c>
      <c r="F334" s="5">
        <v>205</v>
      </c>
      <c r="G334" s="4" t="s">
        <v>23</v>
      </c>
      <c r="H334" s="4" t="s">
        <v>16</v>
      </c>
      <c r="I334" s="5">
        <v>3</v>
      </c>
      <c r="J334" s="5">
        <v>202400</v>
      </c>
      <c r="K334" s="5">
        <v>145000</v>
      </c>
      <c r="L334" s="5">
        <v>607200</v>
      </c>
      <c r="M334" s="5">
        <v>172200</v>
      </c>
    </row>
    <row r="335" spans="1:13" x14ac:dyDescent="0.3">
      <c r="A335" s="5">
        <v>334</v>
      </c>
      <c r="B335" s="10">
        <v>46135</v>
      </c>
      <c r="C335" s="5">
        <v>102</v>
      </c>
      <c r="D335" s="4" t="s">
        <v>27</v>
      </c>
      <c r="E335" s="4" t="s">
        <v>28</v>
      </c>
      <c r="F335" s="5">
        <v>201</v>
      </c>
      <c r="G335" s="4" t="s">
        <v>17</v>
      </c>
      <c r="H335" s="4" t="s">
        <v>18</v>
      </c>
      <c r="I335" s="5">
        <v>5</v>
      </c>
      <c r="J335" s="5">
        <v>782000</v>
      </c>
      <c r="K335" s="5">
        <v>680000</v>
      </c>
      <c r="L335" s="5">
        <v>3910000</v>
      </c>
      <c r="M335" s="5">
        <v>510000</v>
      </c>
    </row>
    <row r="336" spans="1:13" x14ac:dyDescent="0.3">
      <c r="A336" s="5">
        <v>335</v>
      </c>
      <c r="B336" s="10">
        <v>46135</v>
      </c>
      <c r="C336" s="5">
        <v>106</v>
      </c>
      <c r="D336" s="4" t="s">
        <v>29</v>
      </c>
      <c r="E336" s="4" t="s">
        <v>28</v>
      </c>
      <c r="F336" s="5">
        <v>201</v>
      </c>
      <c r="G336" s="4" t="s">
        <v>17</v>
      </c>
      <c r="H336" s="4" t="s">
        <v>18</v>
      </c>
      <c r="I336" s="5">
        <v>2</v>
      </c>
      <c r="J336" s="5">
        <v>850000</v>
      </c>
      <c r="K336" s="5">
        <v>680000</v>
      </c>
      <c r="L336" s="5">
        <v>1700000</v>
      </c>
      <c r="M336" s="5">
        <v>340000</v>
      </c>
    </row>
    <row r="337" spans="1:13" x14ac:dyDescent="0.3">
      <c r="A337" s="5">
        <v>336</v>
      </c>
      <c r="B337" s="10">
        <v>46135</v>
      </c>
      <c r="C337" s="5">
        <v>101</v>
      </c>
      <c r="D337" s="4" t="s">
        <v>13</v>
      </c>
      <c r="E337" s="4" t="s">
        <v>14</v>
      </c>
      <c r="F337" s="5">
        <v>202</v>
      </c>
      <c r="G337" s="4" t="s">
        <v>19</v>
      </c>
      <c r="H337" s="4" t="s">
        <v>18</v>
      </c>
      <c r="I337" s="5">
        <v>3</v>
      </c>
      <c r="J337" s="5">
        <v>280000</v>
      </c>
      <c r="K337" s="5">
        <v>210000</v>
      </c>
      <c r="L337" s="5">
        <v>840000</v>
      </c>
      <c r="M337" s="5">
        <v>210000</v>
      </c>
    </row>
    <row r="338" spans="1:13" x14ac:dyDescent="0.3">
      <c r="A338" s="5">
        <v>337</v>
      </c>
      <c r="B338" s="10">
        <v>46136</v>
      </c>
      <c r="C338" s="5">
        <v>104</v>
      </c>
      <c r="D338" s="4" t="s">
        <v>25</v>
      </c>
      <c r="E338" s="4" t="s">
        <v>14</v>
      </c>
      <c r="F338" s="5">
        <v>202</v>
      </c>
      <c r="G338" s="4" t="s">
        <v>19</v>
      </c>
      <c r="H338" s="4" t="s">
        <v>18</v>
      </c>
      <c r="I338" s="5">
        <v>3</v>
      </c>
      <c r="J338" s="5">
        <v>257600</v>
      </c>
      <c r="K338" s="5">
        <v>210000</v>
      </c>
      <c r="L338" s="5">
        <v>772800</v>
      </c>
      <c r="M338" s="5">
        <v>142800</v>
      </c>
    </row>
    <row r="339" spans="1:13" x14ac:dyDescent="0.3">
      <c r="A339" s="5">
        <v>338</v>
      </c>
      <c r="B339" s="10">
        <v>46136</v>
      </c>
      <c r="C339" s="5">
        <v>103</v>
      </c>
      <c r="D339" s="4" t="s">
        <v>32</v>
      </c>
      <c r="E339" s="4" t="s">
        <v>31</v>
      </c>
      <c r="F339" s="5">
        <v>201</v>
      </c>
      <c r="G339" s="4" t="s">
        <v>17</v>
      </c>
      <c r="H339" s="4" t="s">
        <v>18</v>
      </c>
      <c r="I339" s="5">
        <v>1</v>
      </c>
      <c r="J339" s="5">
        <v>782000</v>
      </c>
      <c r="K339" s="5">
        <v>680000</v>
      </c>
      <c r="L339" s="5">
        <v>782000</v>
      </c>
      <c r="M339" s="5">
        <v>102000</v>
      </c>
    </row>
    <row r="340" spans="1:13" x14ac:dyDescent="0.3">
      <c r="A340" s="5">
        <v>339</v>
      </c>
      <c r="B340" s="10">
        <v>46136</v>
      </c>
      <c r="C340" s="5">
        <v>101</v>
      </c>
      <c r="D340" s="4" t="s">
        <v>13</v>
      </c>
      <c r="E340" s="4" t="s">
        <v>14</v>
      </c>
      <c r="F340" s="5">
        <v>204</v>
      </c>
      <c r="G340" s="4" t="s">
        <v>22</v>
      </c>
      <c r="H340" s="4" t="s">
        <v>21</v>
      </c>
      <c r="I340" s="5">
        <v>2</v>
      </c>
      <c r="J340" s="5">
        <v>50600</v>
      </c>
      <c r="K340" s="5">
        <v>33000</v>
      </c>
      <c r="L340" s="5">
        <v>101200</v>
      </c>
      <c r="M340" s="5">
        <v>35200</v>
      </c>
    </row>
    <row r="341" spans="1:13" x14ac:dyDescent="0.3">
      <c r="A341" s="5">
        <v>340</v>
      </c>
      <c r="B341" s="10">
        <v>46136</v>
      </c>
      <c r="C341" s="5">
        <v>101</v>
      </c>
      <c r="D341" s="4" t="s">
        <v>13</v>
      </c>
      <c r="E341" s="4" t="s">
        <v>14</v>
      </c>
      <c r="F341" s="5">
        <v>206</v>
      </c>
      <c r="G341" s="4" t="s">
        <v>15</v>
      </c>
      <c r="H341" s="4" t="s">
        <v>16</v>
      </c>
      <c r="I341" s="5">
        <v>4</v>
      </c>
      <c r="J341" s="5">
        <v>339500</v>
      </c>
      <c r="K341" s="5">
        <v>235000</v>
      </c>
      <c r="L341" s="5">
        <v>1358000</v>
      </c>
      <c r="M341" s="5">
        <v>418000</v>
      </c>
    </row>
    <row r="342" spans="1:13" x14ac:dyDescent="0.3">
      <c r="A342" s="5">
        <v>341</v>
      </c>
      <c r="B342" s="10">
        <v>46137</v>
      </c>
      <c r="C342" s="5">
        <v>108</v>
      </c>
      <c r="D342" s="4" t="s">
        <v>30</v>
      </c>
      <c r="E342" s="4" t="s">
        <v>31</v>
      </c>
      <c r="F342" s="5">
        <v>202</v>
      </c>
      <c r="G342" s="4" t="s">
        <v>19</v>
      </c>
      <c r="H342" s="4" t="s">
        <v>18</v>
      </c>
      <c r="I342" s="5">
        <v>3</v>
      </c>
      <c r="J342" s="5">
        <v>271600</v>
      </c>
      <c r="K342" s="5">
        <v>210000</v>
      </c>
      <c r="L342" s="5">
        <v>814800</v>
      </c>
      <c r="M342" s="5">
        <v>184800</v>
      </c>
    </row>
    <row r="343" spans="1:13" x14ac:dyDescent="0.3">
      <c r="A343" s="5">
        <v>342</v>
      </c>
      <c r="B343" s="10">
        <v>46137</v>
      </c>
      <c r="C343" s="5">
        <v>102</v>
      </c>
      <c r="D343" s="4" t="s">
        <v>27</v>
      </c>
      <c r="E343" s="4" t="s">
        <v>28</v>
      </c>
      <c r="F343" s="5">
        <v>203</v>
      </c>
      <c r="G343" s="4" t="s">
        <v>20</v>
      </c>
      <c r="H343" s="4" t="s">
        <v>21</v>
      </c>
      <c r="I343" s="5">
        <v>1</v>
      </c>
      <c r="J343" s="5">
        <v>95000</v>
      </c>
      <c r="K343" s="5">
        <v>62000</v>
      </c>
      <c r="L343" s="5">
        <v>95000</v>
      </c>
      <c r="M343" s="5">
        <v>33000</v>
      </c>
    </row>
    <row r="344" spans="1:13" x14ac:dyDescent="0.3">
      <c r="A344" s="5">
        <v>343</v>
      </c>
      <c r="B344" s="10">
        <v>46138</v>
      </c>
      <c r="C344" s="5">
        <v>101</v>
      </c>
      <c r="D344" s="4" t="s">
        <v>13</v>
      </c>
      <c r="E344" s="4" t="s">
        <v>14</v>
      </c>
      <c r="F344" s="5">
        <v>203</v>
      </c>
      <c r="G344" s="4" t="s">
        <v>20</v>
      </c>
      <c r="H344" s="4" t="s">
        <v>21</v>
      </c>
      <c r="I344" s="5">
        <v>5</v>
      </c>
      <c r="J344" s="5">
        <v>95000</v>
      </c>
      <c r="K344" s="5">
        <v>62000</v>
      </c>
      <c r="L344" s="5">
        <v>475000</v>
      </c>
      <c r="M344" s="5">
        <v>165000</v>
      </c>
    </row>
    <row r="345" spans="1:13" x14ac:dyDescent="0.3">
      <c r="A345" s="5">
        <v>344</v>
      </c>
      <c r="B345" s="10">
        <v>46138</v>
      </c>
      <c r="C345" s="5">
        <v>101</v>
      </c>
      <c r="D345" s="4" t="s">
        <v>13</v>
      </c>
      <c r="E345" s="4" t="s">
        <v>14</v>
      </c>
      <c r="F345" s="5">
        <v>201</v>
      </c>
      <c r="G345" s="4" t="s">
        <v>17</v>
      </c>
      <c r="H345" s="4" t="s">
        <v>18</v>
      </c>
      <c r="I345" s="5">
        <v>3</v>
      </c>
      <c r="J345" s="5">
        <v>824500</v>
      </c>
      <c r="K345" s="5">
        <v>680000</v>
      </c>
      <c r="L345" s="5">
        <v>2473500</v>
      </c>
      <c r="M345" s="5">
        <v>433500</v>
      </c>
    </row>
    <row r="346" spans="1:13" x14ac:dyDescent="0.3">
      <c r="A346" s="5">
        <v>345</v>
      </c>
      <c r="B346" s="10">
        <v>46139</v>
      </c>
      <c r="C346" s="5">
        <v>101</v>
      </c>
      <c r="D346" s="4" t="s">
        <v>13</v>
      </c>
      <c r="E346" s="4" t="s">
        <v>14</v>
      </c>
      <c r="F346" s="5">
        <v>202</v>
      </c>
      <c r="G346" s="4" t="s">
        <v>19</v>
      </c>
      <c r="H346" s="4" t="s">
        <v>18</v>
      </c>
      <c r="I346" s="5">
        <v>3</v>
      </c>
      <c r="J346" s="5">
        <v>271600</v>
      </c>
      <c r="K346" s="5">
        <v>210000</v>
      </c>
      <c r="L346" s="5">
        <v>814800</v>
      </c>
      <c r="M346" s="5">
        <v>184800</v>
      </c>
    </row>
    <row r="347" spans="1:13" x14ac:dyDescent="0.3">
      <c r="A347" s="5">
        <v>346</v>
      </c>
      <c r="B347" s="10">
        <v>46139</v>
      </c>
      <c r="C347" s="5">
        <v>105</v>
      </c>
      <c r="D347" s="4" t="s">
        <v>33</v>
      </c>
      <c r="E347" s="4" t="s">
        <v>34</v>
      </c>
      <c r="F347" s="5">
        <v>205</v>
      </c>
      <c r="G347" s="4" t="s">
        <v>23</v>
      </c>
      <c r="H347" s="4" t="s">
        <v>16</v>
      </c>
      <c r="I347" s="5">
        <v>3</v>
      </c>
      <c r="J347" s="5">
        <v>202400</v>
      </c>
      <c r="K347" s="5">
        <v>145000</v>
      </c>
      <c r="L347" s="5">
        <v>607200</v>
      </c>
      <c r="M347" s="5">
        <v>172200</v>
      </c>
    </row>
    <row r="348" spans="1:13" x14ac:dyDescent="0.3">
      <c r="A348" s="5">
        <v>347</v>
      </c>
      <c r="B348" s="10">
        <v>46139</v>
      </c>
      <c r="C348" s="5">
        <v>105</v>
      </c>
      <c r="D348" s="4" t="s">
        <v>33</v>
      </c>
      <c r="E348" s="4" t="s">
        <v>34</v>
      </c>
      <c r="F348" s="5">
        <v>202</v>
      </c>
      <c r="G348" s="4" t="s">
        <v>19</v>
      </c>
      <c r="H348" s="4" t="s">
        <v>18</v>
      </c>
      <c r="I348" s="5">
        <v>2</v>
      </c>
      <c r="J348" s="5">
        <v>271600</v>
      </c>
      <c r="K348" s="5">
        <v>210000</v>
      </c>
      <c r="L348" s="5">
        <v>543200</v>
      </c>
      <c r="M348" s="5">
        <v>123200</v>
      </c>
    </row>
    <row r="349" spans="1:13" x14ac:dyDescent="0.3">
      <c r="A349" s="5">
        <v>348</v>
      </c>
      <c r="B349" s="10">
        <v>46140</v>
      </c>
      <c r="C349" s="5">
        <v>102</v>
      </c>
      <c r="D349" s="4" t="s">
        <v>27</v>
      </c>
      <c r="E349" s="4" t="s">
        <v>28</v>
      </c>
      <c r="F349" s="5">
        <v>206</v>
      </c>
      <c r="G349" s="4" t="s">
        <v>15</v>
      </c>
      <c r="H349" s="4" t="s">
        <v>16</v>
      </c>
      <c r="I349" s="5">
        <v>3</v>
      </c>
      <c r="J349" s="5">
        <v>322000</v>
      </c>
      <c r="K349" s="5">
        <v>235000</v>
      </c>
      <c r="L349" s="5">
        <v>966000</v>
      </c>
      <c r="M349" s="5">
        <v>261000</v>
      </c>
    </row>
    <row r="350" spans="1:13" x14ac:dyDescent="0.3">
      <c r="A350" s="5">
        <v>349</v>
      </c>
      <c r="B350" s="10">
        <v>46140</v>
      </c>
      <c r="C350" s="5">
        <v>106</v>
      </c>
      <c r="D350" s="4" t="s">
        <v>29</v>
      </c>
      <c r="E350" s="4" t="s">
        <v>28</v>
      </c>
      <c r="F350" s="5">
        <v>203</v>
      </c>
      <c r="G350" s="4" t="s">
        <v>20</v>
      </c>
      <c r="H350" s="4" t="s">
        <v>21</v>
      </c>
      <c r="I350" s="5">
        <v>2</v>
      </c>
      <c r="J350" s="5">
        <v>90250</v>
      </c>
      <c r="K350" s="5">
        <v>62000</v>
      </c>
      <c r="L350" s="5">
        <v>180500</v>
      </c>
      <c r="M350" s="5">
        <v>56500</v>
      </c>
    </row>
    <row r="351" spans="1:13" x14ac:dyDescent="0.3">
      <c r="A351" s="5">
        <v>350</v>
      </c>
      <c r="B351" s="10">
        <v>46140</v>
      </c>
      <c r="C351" s="5">
        <v>103</v>
      </c>
      <c r="D351" s="4" t="s">
        <v>32</v>
      </c>
      <c r="E351" s="4" t="s">
        <v>31</v>
      </c>
      <c r="F351" s="5">
        <v>202</v>
      </c>
      <c r="G351" s="4" t="s">
        <v>19</v>
      </c>
      <c r="H351" s="4" t="s">
        <v>18</v>
      </c>
      <c r="I351" s="5">
        <v>5</v>
      </c>
      <c r="J351" s="5">
        <v>271600</v>
      </c>
      <c r="K351" s="5">
        <v>210000</v>
      </c>
      <c r="L351" s="5">
        <v>1358000</v>
      </c>
      <c r="M351" s="5">
        <v>308000</v>
      </c>
    </row>
    <row r="352" spans="1:13" x14ac:dyDescent="0.3">
      <c r="A352" s="5">
        <v>351</v>
      </c>
      <c r="B352" s="10">
        <v>46141</v>
      </c>
      <c r="C352" s="5">
        <v>104</v>
      </c>
      <c r="D352" s="4" t="s">
        <v>25</v>
      </c>
      <c r="E352" s="4" t="s">
        <v>14</v>
      </c>
      <c r="F352" s="5">
        <v>203</v>
      </c>
      <c r="G352" s="4" t="s">
        <v>20</v>
      </c>
      <c r="H352" s="4" t="s">
        <v>21</v>
      </c>
      <c r="I352" s="5">
        <v>5</v>
      </c>
      <c r="J352" s="5">
        <v>90250</v>
      </c>
      <c r="K352" s="5">
        <v>62000</v>
      </c>
      <c r="L352" s="5">
        <v>451250</v>
      </c>
      <c r="M352" s="5">
        <v>141250</v>
      </c>
    </row>
    <row r="353" spans="1:13" x14ac:dyDescent="0.3">
      <c r="A353" s="5">
        <v>352</v>
      </c>
      <c r="B353" s="10">
        <v>46141</v>
      </c>
      <c r="C353" s="5">
        <v>102</v>
      </c>
      <c r="D353" s="4" t="s">
        <v>27</v>
      </c>
      <c r="E353" s="4" t="s">
        <v>28</v>
      </c>
      <c r="F353" s="5">
        <v>201</v>
      </c>
      <c r="G353" s="4" t="s">
        <v>17</v>
      </c>
      <c r="H353" s="4" t="s">
        <v>18</v>
      </c>
      <c r="I353" s="5">
        <v>4</v>
      </c>
      <c r="J353" s="5">
        <v>850000</v>
      </c>
      <c r="K353" s="5">
        <v>680000</v>
      </c>
      <c r="L353" s="5">
        <v>3400000</v>
      </c>
      <c r="M353" s="5">
        <v>680000</v>
      </c>
    </row>
    <row r="354" spans="1:13" x14ac:dyDescent="0.3">
      <c r="A354" s="5">
        <v>353</v>
      </c>
      <c r="B354" s="10">
        <v>46142</v>
      </c>
      <c r="C354" s="5">
        <v>102</v>
      </c>
      <c r="D354" s="4" t="s">
        <v>27</v>
      </c>
      <c r="E354" s="4" t="s">
        <v>28</v>
      </c>
      <c r="F354" s="5">
        <v>201</v>
      </c>
      <c r="G354" s="4" t="s">
        <v>17</v>
      </c>
      <c r="H354" s="4" t="s">
        <v>18</v>
      </c>
      <c r="I354" s="5">
        <v>5</v>
      </c>
      <c r="J354" s="5">
        <v>850000</v>
      </c>
      <c r="K354" s="5">
        <v>680000</v>
      </c>
      <c r="L354" s="5">
        <v>4250000</v>
      </c>
      <c r="M354" s="5">
        <v>850000</v>
      </c>
    </row>
    <row r="355" spans="1:13" x14ac:dyDescent="0.3">
      <c r="A355" s="5">
        <v>354</v>
      </c>
      <c r="B355" s="10">
        <v>46142</v>
      </c>
      <c r="C355" s="5">
        <v>101</v>
      </c>
      <c r="D355" s="4" t="s">
        <v>13</v>
      </c>
      <c r="E355" s="4" t="s">
        <v>14</v>
      </c>
      <c r="F355" s="5">
        <v>206</v>
      </c>
      <c r="G355" s="4" t="s">
        <v>15</v>
      </c>
      <c r="H355" s="4" t="s">
        <v>16</v>
      </c>
      <c r="I355" s="5">
        <v>1</v>
      </c>
      <c r="J355" s="5">
        <v>322000</v>
      </c>
      <c r="K355" s="5">
        <v>235000</v>
      </c>
      <c r="L355" s="5">
        <v>322000</v>
      </c>
      <c r="M355" s="5">
        <v>87000</v>
      </c>
    </row>
    <row r="356" spans="1:13" x14ac:dyDescent="0.3">
      <c r="A356" s="5">
        <v>355</v>
      </c>
      <c r="B356" s="10">
        <v>46143</v>
      </c>
      <c r="C356" s="5">
        <v>102</v>
      </c>
      <c r="D356" s="4" t="s">
        <v>27</v>
      </c>
      <c r="E356" s="4" t="s">
        <v>28</v>
      </c>
      <c r="F356" s="5">
        <v>201</v>
      </c>
      <c r="G356" s="4" t="s">
        <v>17</v>
      </c>
      <c r="H356" s="4" t="s">
        <v>18</v>
      </c>
      <c r="I356" s="5">
        <v>4</v>
      </c>
      <c r="J356" s="5">
        <v>807500</v>
      </c>
      <c r="K356" s="5">
        <v>680000</v>
      </c>
      <c r="L356" s="5">
        <v>3230000</v>
      </c>
      <c r="M356" s="5">
        <v>510000</v>
      </c>
    </row>
    <row r="357" spans="1:13" x14ac:dyDescent="0.3">
      <c r="A357" s="5">
        <v>356</v>
      </c>
      <c r="B357" s="10">
        <v>46143</v>
      </c>
      <c r="C357" s="5">
        <v>104</v>
      </c>
      <c r="D357" s="4" t="s">
        <v>25</v>
      </c>
      <c r="E357" s="4" t="s">
        <v>14</v>
      </c>
      <c r="F357" s="5">
        <v>202</v>
      </c>
      <c r="G357" s="4" t="s">
        <v>19</v>
      </c>
      <c r="H357" s="4" t="s">
        <v>18</v>
      </c>
      <c r="I357" s="5">
        <v>1</v>
      </c>
      <c r="J357" s="5">
        <v>266000</v>
      </c>
      <c r="K357" s="5">
        <v>210000</v>
      </c>
      <c r="L357" s="5">
        <v>266000</v>
      </c>
      <c r="M357" s="5">
        <v>56000</v>
      </c>
    </row>
    <row r="358" spans="1:13" x14ac:dyDescent="0.3">
      <c r="A358" s="5">
        <v>357</v>
      </c>
      <c r="B358" s="10">
        <v>46144</v>
      </c>
      <c r="C358" s="5">
        <v>105</v>
      </c>
      <c r="D358" s="4" t="s">
        <v>33</v>
      </c>
      <c r="E358" s="4" t="s">
        <v>34</v>
      </c>
      <c r="F358" s="5">
        <v>205</v>
      </c>
      <c r="G358" s="4" t="s">
        <v>23</v>
      </c>
      <c r="H358" s="4" t="s">
        <v>16</v>
      </c>
      <c r="I358" s="5">
        <v>5</v>
      </c>
      <c r="J358" s="5">
        <v>213400</v>
      </c>
      <c r="K358" s="5">
        <v>145000</v>
      </c>
      <c r="L358" s="5">
        <v>1067000</v>
      </c>
      <c r="M358" s="5">
        <v>342000</v>
      </c>
    </row>
    <row r="359" spans="1:13" x14ac:dyDescent="0.3">
      <c r="A359" s="5">
        <v>358</v>
      </c>
      <c r="B359" s="10">
        <v>46144</v>
      </c>
      <c r="C359" s="5">
        <v>101</v>
      </c>
      <c r="D359" s="4" t="s">
        <v>13</v>
      </c>
      <c r="E359" s="4" t="s">
        <v>14</v>
      </c>
      <c r="F359" s="5">
        <v>202</v>
      </c>
      <c r="G359" s="4" t="s">
        <v>19</v>
      </c>
      <c r="H359" s="4" t="s">
        <v>18</v>
      </c>
      <c r="I359" s="5">
        <v>5</v>
      </c>
      <c r="J359" s="5">
        <v>266000</v>
      </c>
      <c r="K359" s="5">
        <v>210000</v>
      </c>
      <c r="L359" s="5">
        <v>1330000</v>
      </c>
      <c r="M359" s="5">
        <v>280000</v>
      </c>
    </row>
    <row r="360" spans="1:13" x14ac:dyDescent="0.3">
      <c r="A360" s="5">
        <v>359</v>
      </c>
      <c r="B360" s="10">
        <v>46145</v>
      </c>
      <c r="C360" s="5">
        <v>104</v>
      </c>
      <c r="D360" s="4" t="s">
        <v>25</v>
      </c>
      <c r="E360" s="4" t="s">
        <v>14</v>
      </c>
      <c r="F360" s="5">
        <v>201</v>
      </c>
      <c r="G360" s="4" t="s">
        <v>17</v>
      </c>
      <c r="H360" s="4" t="s">
        <v>18</v>
      </c>
      <c r="I360" s="5">
        <v>5</v>
      </c>
      <c r="J360" s="5">
        <v>782000</v>
      </c>
      <c r="K360" s="5">
        <v>680000</v>
      </c>
      <c r="L360" s="5">
        <v>3910000</v>
      </c>
      <c r="M360" s="5">
        <v>510000</v>
      </c>
    </row>
    <row r="361" spans="1:13" x14ac:dyDescent="0.3">
      <c r="A361" s="5">
        <v>360</v>
      </c>
      <c r="B361" s="10">
        <v>46145</v>
      </c>
      <c r="C361" s="5">
        <v>108</v>
      </c>
      <c r="D361" s="4" t="s">
        <v>30</v>
      </c>
      <c r="E361" s="4" t="s">
        <v>31</v>
      </c>
      <c r="F361" s="5">
        <v>206</v>
      </c>
      <c r="G361" s="4" t="s">
        <v>15</v>
      </c>
      <c r="H361" s="4" t="s">
        <v>16</v>
      </c>
      <c r="I361" s="5">
        <v>2</v>
      </c>
      <c r="J361" s="5">
        <v>339500</v>
      </c>
      <c r="K361" s="5">
        <v>235000</v>
      </c>
      <c r="L361" s="5">
        <v>679000</v>
      </c>
      <c r="M361" s="5">
        <v>209000</v>
      </c>
    </row>
    <row r="362" spans="1:13" x14ac:dyDescent="0.3">
      <c r="A362" s="5">
        <v>361</v>
      </c>
      <c r="B362" s="10">
        <v>46145</v>
      </c>
      <c r="C362" s="5">
        <v>102</v>
      </c>
      <c r="D362" s="4" t="s">
        <v>27</v>
      </c>
      <c r="E362" s="4" t="s">
        <v>28</v>
      </c>
      <c r="F362" s="5">
        <v>206</v>
      </c>
      <c r="G362" s="4" t="s">
        <v>15</v>
      </c>
      <c r="H362" s="4" t="s">
        <v>16</v>
      </c>
      <c r="I362" s="5">
        <v>3</v>
      </c>
      <c r="J362" s="5">
        <v>339500</v>
      </c>
      <c r="K362" s="5">
        <v>235000</v>
      </c>
      <c r="L362" s="5">
        <v>1018500</v>
      </c>
      <c r="M362" s="5">
        <v>313500</v>
      </c>
    </row>
    <row r="363" spans="1:13" x14ac:dyDescent="0.3">
      <c r="A363" s="5">
        <v>362</v>
      </c>
      <c r="B363" s="10">
        <v>46146</v>
      </c>
      <c r="C363" s="5">
        <v>105</v>
      </c>
      <c r="D363" s="4" t="s">
        <v>33</v>
      </c>
      <c r="E363" s="4" t="s">
        <v>34</v>
      </c>
      <c r="F363" s="5">
        <v>206</v>
      </c>
      <c r="G363" s="4" t="s">
        <v>15</v>
      </c>
      <c r="H363" s="4" t="s">
        <v>16</v>
      </c>
      <c r="I363" s="5">
        <v>5</v>
      </c>
      <c r="J363" s="5">
        <v>350000</v>
      </c>
      <c r="K363" s="5">
        <v>235000</v>
      </c>
      <c r="L363" s="5">
        <v>1750000</v>
      </c>
      <c r="M363" s="5">
        <v>575000</v>
      </c>
    </row>
    <row r="364" spans="1:13" x14ac:dyDescent="0.3">
      <c r="A364" s="5">
        <v>363</v>
      </c>
      <c r="B364" s="10">
        <v>46146</v>
      </c>
      <c r="C364" s="5">
        <v>103</v>
      </c>
      <c r="D364" s="4" t="s">
        <v>32</v>
      </c>
      <c r="E364" s="4" t="s">
        <v>31</v>
      </c>
      <c r="F364" s="5">
        <v>205</v>
      </c>
      <c r="G364" s="4" t="s">
        <v>23</v>
      </c>
      <c r="H364" s="4" t="s">
        <v>16</v>
      </c>
      <c r="I364" s="5">
        <v>5</v>
      </c>
      <c r="J364" s="5">
        <v>220000</v>
      </c>
      <c r="K364" s="5">
        <v>145000</v>
      </c>
      <c r="L364" s="5">
        <v>1100000</v>
      </c>
      <c r="M364" s="5">
        <v>375000</v>
      </c>
    </row>
    <row r="365" spans="1:13" x14ac:dyDescent="0.3">
      <c r="A365" s="5">
        <v>364</v>
      </c>
      <c r="B365" s="10">
        <v>46146</v>
      </c>
      <c r="C365" s="5">
        <v>103</v>
      </c>
      <c r="D365" s="4" t="s">
        <v>32</v>
      </c>
      <c r="E365" s="4" t="s">
        <v>31</v>
      </c>
      <c r="F365" s="5">
        <v>204</v>
      </c>
      <c r="G365" s="4" t="s">
        <v>22</v>
      </c>
      <c r="H365" s="4" t="s">
        <v>21</v>
      </c>
      <c r="I365" s="5">
        <v>4</v>
      </c>
      <c r="J365" s="5">
        <v>55000</v>
      </c>
      <c r="K365" s="5">
        <v>33000</v>
      </c>
      <c r="L365" s="5">
        <v>220000</v>
      </c>
      <c r="M365" s="5">
        <v>88000</v>
      </c>
    </row>
    <row r="366" spans="1:13" x14ac:dyDescent="0.3">
      <c r="A366" s="5">
        <v>365</v>
      </c>
      <c r="B366" s="10">
        <v>46146</v>
      </c>
      <c r="C366" s="5">
        <v>105</v>
      </c>
      <c r="D366" s="4" t="s">
        <v>33</v>
      </c>
      <c r="E366" s="4" t="s">
        <v>34</v>
      </c>
      <c r="F366" s="5">
        <v>202</v>
      </c>
      <c r="G366" s="4" t="s">
        <v>19</v>
      </c>
      <c r="H366" s="4" t="s">
        <v>18</v>
      </c>
      <c r="I366" s="5">
        <v>2</v>
      </c>
      <c r="J366" s="5">
        <v>266000</v>
      </c>
      <c r="K366" s="5">
        <v>210000</v>
      </c>
      <c r="L366" s="5">
        <v>532000</v>
      </c>
      <c r="M366" s="5">
        <v>112000</v>
      </c>
    </row>
    <row r="367" spans="1:13" x14ac:dyDescent="0.3">
      <c r="A367" s="5">
        <v>366</v>
      </c>
      <c r="B367" s="10">
        <v>46147</v>
      </c>
      <c r="C367" s="5">
        <v>106</v>
      </c>
      <c r="D367" s="4" t="s">
        <v>29</v>
      </c>
      <c r="E367" s="4" t="s">
        <v>28</v>
      </c>
      <c r="F367" s="5">
        <v>202</v>
      </c>
      <c r="G367" s="4" t="s">
        <v>19</v>
      </c>
      <c r="H367" s="4" t="s">
        <v>18</v>
      </c>
      <c r="I367" s="5">
        <v>5</v>
      </c>
      <c r="J367" s="5">
        <v>280000</v>
      </c>
      <c r="K367" s="5">
        <v>210000</v>
      </c>
      <c r="L367" s="5">
        <v>1400000</v>
      </c>
      <c r="M367" s="5">
        <v>350000</v>
      </c>
    </row>
    <row r="368" spans="1:13" x14ac:dyDescent="0.3">
      <c r="A368" s="5">
        <v>367</v>
      </c>
      <c r="B368" s="10">
        <v>46147</v>
      </c>
      <c r="C368" s="5">
        <v>107</v>
      </c>
      <c r="D368" s="4" t="s">
        <v>24</v>
      </c>
      <c r="E368" s="4" t="s">
        <v>14</v>
      </c>
      <c r="F368" s="5">
        <v>201</v>
      </c>
      <c r="G368" s="4" t="s">
        <v>17</v>
      </c>
      <c r="H368" s="4" t="s">
        <v>18</v>
      </c>
      <c r="I368" s="5">
        <v>4</v>
      </c>
      <c r="J368" s="5">
        <v>824500</v>
      </c>
      <c r="K368" s="5">
        <v>680000</v>
      </c>
      <c r="L368" s="5">
        <v>3298000</v>
      </c>
      <c r="M368" s="5">
        <v>578000</v>
      </c>
    </row>
    <row r="369" spans="1:13" x14ac:dyDescent="0.3">
      <c r="A369" s="5">
        <v>368</v>
      </c>
      <c r="B369" s="10">
        <v>46147</v>
      </c>
      <c r="C369" s="5">
        <v>104</v>
      </c>
      <c r="D369" s="4" t="s">
        <v>25</v>
      </c>
      <c r="E369" s="4" t="s">
        <v>14</v>
      </c>
      <c r="F369" s="5">
        <v>201</v>
      </c>
      <c r="G369" s="4" t="s">
        <v>17</v>
      </c>
      <c r="H369" s="4" t="s">
        <v>18</v>
      </c>
      <c r="I369" s="5">
        <v>4</v>
      </c>
      <c r="J369" s="5">
        <v>850000</v>
      </c>
      <c r="K369" s="5">
        <v>680000</v>
      </c>
      <c r="L369" s="5">
        <v>3400000</v>
      </c>
      <c r="M369" s="5">
        <v>680000</v>
      </c>
    </row>
    <row r="370" spans="1:13" x14ac:dyDescent="0.3">
      <c r="A370" s="5">
        <v>369</v>
      </c>
      <c r="B370" s="10">
        <v>46148</v>
      </c>
      <c r="C370" s="5">
        <v>106</v>
      </c>
      <c r="D370" s="4" t="s">
        <v>29</v>
      </c>
      <c r="E370" s="4" t="s">
        <v>28</v>
      </c>
      <c r="F370" s="5">
        <v>206</v>
      </c>
      <c r="G370" s="4" t="s">
        <v>15</v>
      </c>
      <c r="H370" s="4" t="s">
        <v>16</v>
      </c>
      <c r="I370" s="5">
        <v>4</v>
      </c>
      <c r="J370" s="5">
        <v>339500</v>
      </c>
      <c r="K370" s="5">
        <v>235000</v>
      </c>
      <c r="L370" s="5">
        <v>1358000</v>
      </c>
      <c r="M370" s="5">
        <v>418000</v>
      </c>
    </row>
    <row r="371" spans="1:13" x14ac:dyDescent="0.3">
      <c r="A371" s="5">
        <v>370</v>
      </c>
      <c r="B371" s="10">
        <v>46148</v>
      </c>
      <c r="C371" s="5">
        <v>106</v>
      </c>
      <c r="D371" s="4" t="s">
        <v>29</v>
      </c>
      <c r="E371" s="4" t="s">
        <v>28</v>
      </c>
      <c r="F371" s="5">
        <v>205</v>
      </c>
      <c r="G371" s="4" t="s">
        <v>23</v>
      </c>
      <c r="H371" s="4" t="s">
        <v>16</v>
      </c>
      <c r="I371" s="5">
        <v>2</v>
      </c>
      <c r="J371" s="5">
        <v>220000</v>
      </c>
      <c r="K371" s="5">
        <v>145000</v>
      </c>
      <c r="L371" s="5">
        <v>440000</v>
      </c>
      <c r="M371" s="5">
        <v>150000</v>
      </c>
    </row>
    <row r="372" spans="1:13" x14ac:dyDescent="0.3">
      <c r="A372" s="5">
        <v>371</v>
      </c>
      <c r="B372" s="10">
        <v>46148</v>
      </c>
      <c r="C372" s="5">
        <v>108</v>
      </c>
      <c r="D372" s="4" t="s">
        <v>30</v>
      </c>
      <c r="E372" s="4" t="s">
        <v>31</v>
      </c>
      <c r="F372" s="5">
        <v>201</v>
      </c>
      <c r="G372" s="4" t="s">
        <v>17</v>
      </c>
      <c r="H372" s="4" t="s">
        <v>18</v>
      </c>
      <c r="I372" s="5">
        <v>3</v>
      </c>
      <c r="J372" s="5">
        <v>850000</v>
      </c>
      <c r="K372" s="5">
        <v>680000</v>
      </c>
      <c r="L372" s="5">
        <v>2550000</v>
      </c>
      <c r="M372" s="5">
        <v>510000</v>
      </c>
    </row>
    <row r="373" spans="1:13" x14ac:dyDescent="0.3">
      <c r="A373" s="5">
        <v>372</v>
      </c>
      <c r="B373" s="10">
        <v>46149</v>
      </c>
      <c r="C373" s="5">
        <v>107</v>
      </c>
      <c r="D373" s="4" t="s">
        <v>24</v>
      </c>
      <c r="E373" s="4" t="s">
        <v>14</v>
      </c>
      <c r="F373" s="5">
        <v>201</v>
      </c>
      <c r="G373" s="4" t="s">
        <v>17</v>
      </c>
      <c r="H373" s="4" t="s">
        <v>18</v>
      </c>
      <c r="I373" s="5">
        <v>4</v>
      </c>
      <c r="J373" s="5">
        <v>807500</v>
      </c>
      <c r="K373" s="5">
        <v>680000</v>
      </c>
      <c r="L373" s="5">
        <v>3230000</v>
      </c>
      <c r="M373" s="5">
        <v>510000</v>
      </c>
    </row>
    <row r="374" spans="1:13" x14ac:dyDescent="0.3">
      <c r="A374" s="5">
        <v>373</v>
      </c>
      <c r="B374" s="10">
        <v>46149</v>
      </c>
      <c r="C374" s="5">
        <v>101</v>
      </c>
      <c r="D374" s="4" t="s">
        <v>13</v>
      </c>
      <c r="E374" s="4" t="s">
        <v>14</v>
      </c>
      <c r="F374" s="5">
        <v>202</v>
      </c>
      <c r="G374" s="4" t="s">
        <v>19</v>
      </c>
      <c r="H374" s="4" t="s">
        <v>18</v>
      </c>
      <c r="I374" s="5">
        <v>4</v>
      </c>
      <c r="J374" s="5">
        <v>266000</v>
      </c>
      <c r="K374" s="5">
        <v>210000</v>
      </c>
      <c r="L374" s="5">
        <v>1064000</v>
      </c>
      <c r="M374" s="5">
        <v>224000</v>
      </c>
    </row>
    <row r="375" spans="1:13" x14ac:dyDescent="0.3">
      <c r="A375" s="5">
        <v>374</v>
      </c>
      <c r="B375" s="10">
        <v>46150</v>
      </c>
      <c r="C375" s="5">
        <v>108</v>
      </c>
      <c r="D375" s="4" t="s">
        <v>30</v>
      </c>
      <c r="E375" s="4" t="s">
        <v>31</v>
      </c>
      <c r="F375" s="5">
        <v>202</v>
      </c>
      <c r="G375" s="4" t="s">
        <v>19</v>
      </c>
      <c r="H375" s="4" t="s">
        <v>18</v>
      </c>
      <c r="I375" s="5">
        <v>1</v>
      </c>
      <c r="J375" s="5">
        <v>257600</v>
      </c>
      <c r="K375" s="5">
        <v>210000</v>
      </c>
      <c r="L375" s="5">
        <v>257600</v>
      </c>
      <c r="M375" s="5">
        <v>47600</v>
      </c>
    </row>
    <row r="376" spans="1:13" x14ac:dyDescent="0.3">
      <c r="A376" s="5">
        <v>375</v>
      </c>
      <c r="B376" s="10">
        <v>46150</v>
      </c>
      <c r="C376" s="5">
        <v>101</v>
      </c>
      <c r="D376" s="4" t="s">
        <v>13</v>
      </c>
      <c r="E376" s="4" t="s">
        <v>14</v>
      </c>
      <c r="F376" s="5">
        <v>204</v>
      </c>
      <c r="G376" s="4" t="s">
        <v>22</v>
      </c>
      <c r="H376" s="4" t="s">
        <v>21</v>
      </c>
      <c r="I376" s="5">
        <v>5</v>
      </c>
      <c r="J376" s="5">
        <v>52250</v>
      </c>
      <c r="K376" s="5">
        <v>33000</v>
      </c>
      <c r="L376" s="5">
        <v>261250</v>
      </c>
      <c r="M376" s="5">
        <v>96250</v>
      </c>
    </row>
    <row r="377" spans="1:13" x14ac:dyDescent="0.3">
      <c r="A377" s="5">
        <v>376</v>
      </c>
      <c r="B377" s="10">
        <v>46151</v>
      </c>
      <c r="C377" s="5">
        <v>104</v>
      </c>
      <c r="D377" s="4" t="s">
        <v>25</v>
      </c>
      <c r="E377" s="4" t="s">
        <v>14</v>
      </c>
      <c r="F377" s="5">
        <v>201</v>
      </c>
      <c r="G377" s="4" t="s">
        <v>17</v>
      </c>
      <c r="H377" s="4" t="s">
        <v>18</v>
      </c>
      <c r="I377" s="5">
        <v>3</v>
      </c>
      <c r="J377" s="5">
        <v>782000</v>
      </c>
      <c r="K377" s="5">
        <v>680000</v>
      </c>
      <c r="L377" s="5">
        <v>2346000</v>
      </c>
      <c r="M377" s="5">
        <v>306000</v>
      </c>
    </row>
    <row r="378" spans="1:13" x14ac:dyDescent="0.3">
      <c r="A378" s="5">
        <v>377</v>
      </c>
      <c r="B378" s="10">
        <v>46151</v>
      </c>
      <c r="C378" s="5">
        <v>101</v>
      </c>
      <c r="D378" s="4" t="s">
        <v>13</v>
      </c>
      <c r="E378" s="4" t="s">
        <v>14</v>
      </c>
      <c r="F378" s="5">
        <v>206</v>
      </c>
      <c r="G378" s="4" t="s">
        <v>15</v>
      </c>
      <c r="H378" s="4" t="s">
        <v>16</v>
      </c>
      <c r="I378" s="5">
        <v>3</v>
      </c>
      <c r="J378" s="5">
        <v>332500</v>
      </c>
      <c r="K378" s="5">
        <v>235000</v>
      </c>
      <c r="L378" s="5">
        <v>997500</v>
      </c>
      <c r="M378" s="5">
        <v>292500</v>
      </c>
    </row>
    <row r="379" spans="1:13" x14ac:dyDescent="0.3">
      <c r="A379" s="5">
        <v>378</v>
      </c>
      <c r="B379" s="10">
        <v>46151</v>
      </c>
      <c r="C379" s="5">
        <v>102</v>
      </c>
      <c r="D379" s="4" t="s">
        <v>27</v>
      </c>
      <c r="E379" s="4" t="s">
        <v>28</v>
      </c>
      <c r="F379" s="5">
        <v>204</v>
      </c>
      <c r="G379" s="4" t="s">
        <v>22</v>
      </c>
      <c r="H379" s="4" t="s">
        <v>21</v>
      </c>
      <c r="I379" s="5">
        <v>1</v>
      </c>
      <c r="J379" s="5">
        <v>53350</v>
      </c>
      <c r="K379" s="5">
        <v>33000</v>
      </c>
      <c r="L379" s="5">
        <v>53350</v>
      </c>
      <c r="M379" s="5">
        <v>20350</v>
      </c>
    </row>
    <row r="380" spans="1:13" x14ac:dyDescent="0.3">
      <c r="A380" s="5">
        <v>379</v>
      </c>
      <c r="B380" s="10">
        <v>46152</v>
      </c>
      <c r="C380" s="5">
        <v>101</v>
      </c>
      <c r="D380" s="4" t="s">
        <v>13</v>
      </c>
      <c r="E380" s="4" t="s">
        <v>14</v>
      </c>
      <c r="F380" s="5">
        <v>203</v>
      </c>
      <c r="G380" s="4" t="s">
        <v>20</v>
      </c>
      <c r="H380" s="4" t="s">
        <v>21</v>
      </c>
      <c r="I380" s="5">
        <v>3</v>
      </c>
      <c r="J380" s="5">
        <v>95000</v>
      </c>
      <c r="K380" s="5">
        <v>62000</v>
      </c>
      <c r="L380" s="5">
        <v>285000</v>
      </c>
      <c r="M380" s="5">
        <v>99000</v>
      </c>
    </row>
    <row r="381" spans="1:13" x14ac:dyDescent="0.3">
      <c r="A381" s="5">
        <v>380</v>
      </c>
      <c r="B381" s="10">
        <v>46152</v>
      </c>
      <c r="C381" s="5">
        <v>103</v>
      </c>
      <c r="D381" s="4" t="s">
        <v>32</v>
      </c>
      <c r="E381" s="4" t="s">
        <v>31</v>
      </c>
      <c r="F381" s="5">
        <v>203</v>
      </c>
      <c r="G381" s="4" t="s">
        <v>20</v>
      </c>
      <c r="H381" s="4" t="s">
        <v>21</v>
      </c>
      <c r="I381" s="5">
        <v>4</v>
      </c>
      <c r="J381" s="5">
        <v>87400</v>
      </c>
      <c r="K381" s="5">
        <v>62000</v>
      </c>
      <c r="L381" s="5">
        <v>349600</v>
      </c>
      <c r="M381" s="5">
        <v>101600</v>
      </c>
    </row>
    <row r="382" spans="1:13" x14ac:dyDescent="0.3">
      <c r="A382" s="5">
        <v>381</v>
      </c>
      <c r="B382" s="10">
        <v>46152</v>
      </c>
      <c r="C382" s="5">
        <v>107</v>
      </c>
      <c r="D382" s="4" t="s">
        <v>24</v>
      </c>
      <c r="E382" s="4" t="s">
        <v>14</v>
      </c>
      <c r="F382" s="5">
        <v>202</v>
      </c>
      <c r="G382" s="4" t="s">
        <v>19</v>
      </c>
      <c r="H382" s="4" t="s">
        <v>18</v>
      </c>
      <c r="I382" s="5">
        <v>1</v>
      </c>
      <c r="J382" s="5">
        <v>280000</v>
      </c>
      <c r="K382" s="5">
        <v>210000</v>
      </c>
      <c r="L382" s="5">
        <v>280000</v>
      </c>
      <c r="M382" s="5">
        <v>70000</v>
      </c>
    </row>
    <row r="383" spans="1:13" x14ac:dyDescent="0.3">
      <c r="A383" s="5">
        <v>382</v>
      </c>
      <c r="B383" s="10">
        <v>46152</v>
      </c>
      <c r="C383" s="5">
        <v>105</v>
      </c>
      <c r="D383" s="4" t="s">
        <v>33</v>
      </c>
      <c r="E383" s="4" t="s">
        <v>34</v>
      </c>
      <c r="F383" s="5">
        <v>201</v>
      </c>
      <c r="G383" s="4" t="s">
        <v>17</v>
      </c>
      <c r="H383" s="4" t="s">
        <v>18</v>
      </c>
      <c r="I383" s="5">
        <v>2</v>
      </c>
      <c r="J383" s="5">
        <v>782000</v>
      </c>
      <c r="K383" s="5">
        <v>680000</v>
      </c>
      <c r="L383" s="5">
        <v>1564000</v>
      </c>
      <c r="M383" s="5">
        <v>204000</v>
      </c>
    </row>
    <row r="384" spans="1:13" x14ac:dyDescent="0.3">
      <c r="A384" s="5">
        <v>383</v>
      </c>
      <c r="B384" s="10">
        <v>46153</v>
      </c>
      <c r="C384" s="5">
        <v>107</v>
      </c>
      <c r="D384" s="4" t="s">
        <v>24</v>
      </c>
      <c r="E384" s="4" t="s">
        <v>14</v>
      </c>
      <c r="F384" s="5">
        <v>202</v>
      </c>
      <c r="G384" s="4" t="s">
        <v>19</v>
      </c>
      <c r="H384" s="4" t="s">
        <v>18</v>
      </c>
      <c r="I384" s="5">
        <v>4</v>
      </c>
      <c r="J384" s="5">
        <v>266000</v>
      </c>
      <c r="K384" s="5">
        <v>210000</v>
      </c>
      <c r="L384" s="5">
        <v>1064000</v>
      </c>
      <c r="M384" s="5">
        <v>224000</v>
      </c>
    </row>
    <row r="385" spans="1:13" x14ac:dyDescent="0.3">
      <c r="A385" s="5">
        <v>384</v>
      </c>
      <c r="B385" s="10">
        <v>46153</v>
      </c>
      <c r="C385" s="5">
        <v>102</v>
      </c>
      <c r="D385" s="4" t="s">
        <v>27</v>
      </c>
      <c r="E385" s="4" t="s">
        <v>28</v>
      </c>
      <c r="F385" s="5">
        <v>204</v>
      </c>
      <c r="G385" s="4" t="s">
        <v>22</v>
      </c>
      <c r="H385" s="4" t="s">
        <v>21</v>
      </c>
      <c r="I385" s="5">
        <v>3</v>
      </c>
      <c r="J385" s="5">
        <v>53350</v>
      </c>
      <c r="K385" s="5">
        <v>33000</v>
      </c>
      <c r="L385" s="5">
        <v>160050</v>
      </c>
      <c r="M385" s="5">
        <v>61050</v>
      </c>
    </row>
    <row r="386" spans="1:13" x14ac:dyDescent="0.3">
      <c r="A386" s="5">
        <v>385</v>
      </c>
      <c r="B386" s="10">
        <v>46153</v>
      </c>
      <c r="C386" s="5">
        <v>107</v>
      </c>
      <c r="D386" s="4" t="s">
        <v>24</v>
      </c>
      <c r="E386" s="4" t="s">
        <v>14</v>
      </c>
      <c r="F386" s="5">
        <v>205</v>
      </c>
      <c r="G386" s="4" t="s">
        <v>23</v>
      </c>
      <c r="H386" s="4" t="s">
        <v>16</v>
      </c>
      <c r="I386" s="5">
        <v>3</v>
      </c>
      <c r="J386" s="5">
        <v>209000</v>
      </c>
      <c r="K386" s="5">
        <v>145000</v>
      </c>
      <c r="L386" s="5">
        <v>627000</v>
      </c>
      <c r="M386" s="5">
        <v>192000</v>
      </c>
    </row>
    <row r="387" spans="1:13" x14ac:dyDescent="0.3">
      <c r="A387" s="5">
        <v>386</v>
      </c>
      <c r="B387" s="10">
        <v>46153</v>
      </c>
      <c r="C387" s="5">
        <v>107</v>
      </c>
      <c r="D387" s="4" t="s">
        <v>24</v>
      </c>
      <c r="E387" s="4" t="s">
        <v>14</v>
      </c>
      <c r="F387" s="5">
        <v>204</v>
      </c>
      <c r="G387" s="4" t="s">
        <v>22</v>
      </c>
      <c r="H387" s="4" t="s">
        <v>21</v>
      </c>
      <c r="I387" s="5">
        <v>2</v>
      </c>
      <c r="J387" s="5">
        <v>50600</v>
      </c>
      <c r="K387" s="5">
        <v>33000</v>
      </c>
      <c r="L387" s="5">
        <v>101200</v>
      </c>
      <c r="M387" s="5">
        <v>35200</v>
      </c>
    </row>
    <row r="388" spans="1:13" x14ac:dyDescent="0.3">
      <c r="A388" s="5">
        <v>387</v>
      </c>
      <c r="B388" s="10">
        <v>46154</v>
      </c>
      <c r="C388" s="5">
        <v>108</v>
      </c>
      <c r="D388" s="4" t="s">
        <v>30</v>
      </c>
      <c r="E388" s="4" t="s">
        <v>31</v>
      </c>
      <c r="F388" s="5">
        <v>201</v>
      </c>
      <c r="G388" s="4" t="s">
        <v>17</v>
      </c>
      <c r="H388" s="4" t="s">
        <v>18</v>
      </c>
      <c r="I388" s="5">
        <v>3</v>
      </c>
      <c r="J388" s="5">
        <v>782000</v>
      </c>
      <c r="K388" s="5">
        <v>680000</v>
      </c>
      <c r="L388" s="5">
        <v>2346000</v>
      </c>
      <c r="M388" s="5">
        <v>306000</v>
      </c>
    </row>
    <row r="389" spans="1:13" x14ac:dyDescent="0.3">
      <c r="A389" s="5">
        <v>388</v>
      </c>
      <c r="B389" s="10">
        <v>46154</v>
      </c>
      <c r="C389" s="5">
        <v>105</v>
      </c>
      <c r="D389" s="4" t="s">
        <v>33</v>
      </c>
      <c r="E389" s="4" t="s">
        <v>34</v>
      </c>
      <c r="F389" s="5">
        <v>206</v>
      </c>
      <c r="G389" s="4" t="s">
        <v>15</v>
      </c>
      <c r="H389" s="4" t="s">
        <v>16</v>
      </c>
      <c r="I389" s="5">
        <v>1</v>
      </c>
      <c r="J389" s="5">
        <v>350000</v>
      </c>
      <c r="K389" s="5">
        <v>235000</v>
      </c>
      <c r="L389" s="5">
        <v>350000</v>
      </c>
      <c r="M389" s="5">
        <v>115000</v>
      </c>
    </row>
    <row r="390" spans="1:13" x14ac:dyDescent="0.3">
      <c r="A390" s="5">
        <v>389</v>
      </c>
      <c r="B390" s="10">
        <v>46154</v>
      </c>
      <c r="C390" s="5">
        <v>107</v>
      </c>
      <c r="D390" s="4" t="s">
        <v>24</v>
      </c>
      <c r="E390" s="4" t="s">
        <v>14</v>
      </c>
      <c r="F390" s="5">
        <v>203</v>
      </c>
      <c r="G390" s="4" t="s">
        <v>20</v>
      </c>
      <c r="H390" s="4" t="s">
        <v>21</v>
      </c>
      <c r="I390" s="5">
        <v>3</v>
      </c>
      <c r="J390" s="5">
        <v>92150</v>
      </c>
      <c r="K390" s="5">
        <v>62000</v>
      </c>
      <c r="L390" s="5">
        <v>276450</v>
      </c>
      <c r="M390" s="5">
        <v>90450</v>
      </c>
    </row>
    <row r="391" spans="1:13" x14ac:dyDescent="0.3">
      <c r="A391" s="5">
        <v>390</v>
      </c>
      <c r="B391" s="10">
        <v>46154</v>
      </c>
      <c r="C391" s="5">
        <v>104</v>
      </c>
      <c r="D391" s="4" t="s">
        <v>25</v>
      </c>
      <c r="E391" s="4" t="s">
        <v>14</v>
      </c>
      <c r="F391" s="5">
        <v>206</v>
      </c>
      <c r="G391" s="4" t="s">
        <v>15</v>
      </c>
      <c r="H391" s="4" t="s">
        <v>16</v>
      </c>
      <c r="I391" s="5">
        <v>1</v>
      </c>
      <c r="J391" s="5">
        <v>322000</v>
      </c>
      <c r="K391" s="5">
        <v>235000</v>
      </c>
      <c r="L391" s="5">
        <v>322000</v>
      </c>
      <c r="M391" s="5">
        <v>87000</v>
      </c>
    </row>
    <row r="392" spans="1:13" x14ac:dyDescent="0.3">
      <c r="A392" s="5">
        <v>391</v>
      </c>
      <c r="B392" s="10">
        <v>46155</v>
      </c>
      <c r="C392" s="5">
        <v>106</v>
      </c>
      <c r="D392" s="4" t="s">
        <v>29</v>
      </c>
      <c r="E392" s="4" t="s">
        <v>28</v>
      </c>
      <c r="F392" s="5">
        <v>203</v>
      </c>
      <c r="G392" s="4" t="s">
        <v>20</v>
      </c>
      <c r="H392" s="4" t="s">
        <v>21</v>
      </c>
      <c r="I392" s="5">
        <v>1</v>
      </c>
      <c r="J392" s="5">
        <v>90250</v>
      </c>
      <c r="K392" s="5">
        <v>62000</v>
      </c>
      <c r="L392" s="5">
        <v>90250</v>
      </c>
      <c r="M392" s="5">
        <v>28250</v>
      </c>
    </row>
    <row r="393" spans="1:13" x14ac:dyDescent="0.3">
      <c r="A393" s="5">
        <v>392</v>
      </c>
      <c r="B393" s="10">
        <v>46155</v>
      </c>
      <c r="C393" s="5">
        <v>104</v>
      </c>
      <c r="D393" s="4" t="s">
        <v>25</v>
      </c>
      <c r="E393" s="4" t="s">
        <v>14</v>
      </c>
      <c r="F393" s="5">
        <v>201</v>
      </c>
      <c r="G393" s="4" t="s">
        <v>17</v>
      </c>
      <c r="H393" s="4" t="s">
        <v>18</v>
      </c>
      <c r="I393" s="5">
        <v>2</v>
      </c>
      <c r="J393" s="5">
        <v>782000</v>
      </c>
      <c r="K393" s="5">
        <v>680000</v>
      </c>
      <c r="L393" s="5">
        <v>1564000</v>
      </c>
      <c r="M393" s="5">
        <v>204000</v>
      </c>
    </row>
    <row r="394" spans="1:13" x14ac:dyDescent="0.3">
      <c r="A394" s="5">
        <v>393</v>
      </c>
      <c r="B394" s="10">
        <v>46155</v>
      </c>
      <c r="C394" s="5">
        <v>103</v>
      </c>
      <c r="D394" s="4" t="s">
        <v>32</v>
      </c>
      <c r="E394" s="4" t="s">
        <v>31</v>
      </c>
      <c r="F394" s="5">
        <v>202</v>
      </c>
      <c r="G394" s="4" t="s">
        <v>19</v>
      </c>
      <c r="H394" s="4" t="s">
        <v>18</v>
      </c>
      <c r="I394" s="5">
        <v>4</v>
      </c>
      <c r="J394" s="5">
        <v>280000</v>
      </c>
      <c r="K394" s="5">
        <v>210000</v>
      </c>
      <c r="L394" s="5">
        <v>1120000</v>
      </c>
      <c r="M394" s="5">
        <v>280000</v>
      </c>
    </row>
    <row r="395" spans="1:13" x14ac:dyDescent="0.3">
      <c r="A395" s="5">
        <v>394</v>
      </c>
      <c r="B395" s="10">
        <v>46155</v>
      </c>
      <c r="C395" s="5">
        <v>108</v>
      </c>
      <c r="D395" s="4" t="s">
        <v>30</v>
      </c>
      <c r="E395" s="4" t="s">
        <v>31</v>
      </c>
      <c r="F395" s="5">
        <v>206</v>
      </c>
      <c r="G395" s="4" t="s">
        <v>15</v>
      </c>
      <c r="H395" s="4" t="s">
        <v>16</v>
      </c>
      <c r="I395" s="5">
        <v>5</v>
      </c>
      <c r="J395" s="5">
        <v>322000</v>
      </c>
      <c r="K395" s="5">
        <v>235000</v>
      </c>
      <c r="L395" s="5">
        <v>1610000</v>
      </c>
      <c r="M395" s="5">
        <v>435000</v>
      </c>
    </row>
    <row r="396" spans="1:13" x14ac:dyDescent="0.3">
      <c r="A396" s="5">
        <v>395</v>
      </c>
      <c r="B396" s="10">
        <v>46156</v>
      </c>
      <c r="C396" s="5">
        <v>102</v>
      </c>
      <c r="D396" s="4" t="s">
        <v>27</v>
      </c>
      <c r="E396" s="4" t="s">
        <v>28</v>
      </c>
      <c r="F396" s="5">
        <v>203</v>
      </c>
      <c r="G396" s="4" t="s">
        <v>20</v>
      </c>
      <c r="H396" s="4" t="s">
        <v>21</v>
      </c>
      <c r="I396" s="5">
        <v>3</v>
      </c>
      <c r="J396" s="5">
        <v>87400</v>
      </c>
      <c r="K396" s="5">
        <v>62000</v>
      </c>
      <c r="L396" s="5">
        <v>262200</v>
      </c>
      <c r="M396" s="5">
        <v>76200</v>
      </c>
    </row>
    <row r="397" spans="1:13" x14ac:dyDescent="0.3">
      <c r="A397" s="5">
        <v>396</v>
      </c>
      <c r="B397" s="10">
        <v>46156</v>
      </c>
      <c r="C397" s="5">
        <v>106</v>
      </c>
      <c r="D397" s="4" t="s">
        <v>29</v>
      </c>
      <c r="E397" s="4" t="s">
        <v>28</v>
      </c>
      <c r="F397" s="5">
        <v>204</v>
      </c>
      <c r="G397" s="4" t="s">
        <v>22</v>
      </c>
      <c r="H397" s="4" t="s">
        <v>21</v>
      </c>
      <c r="I397" s="5">
        <v>5</v>
      </c>
      <c r="J397" s="5">
        <v>52250</v>
      </c>
      <c r="K397" s="5">
        <v>33000</v>
      </c>
      <c r="L397" s="5">
        <v>261250</v>
      </c>
      <c r="M397" s="5">
        <v>96250</v>
      </c>
    </row>
    <row r="398" spans="1:13" x14ac:dyDescent="0.3">
      <c r="A398" s="5">
        <v>397</v>
      </c>
      <c r="B398" s="10">
        <v>46157</v>
      </c>
      <c r="C398" s="5">
        <v>104</v>
      </c>
      <c r="D398" s="4" t="s">
        <v>25</v>
      </c>
      <c r="E398" s="4" t="s">
        <v>14</v>
      </c>
      <c r="F398" s="5">
        <v>204</v>
      </c>
      <c r="G398" s="4" t="s">
        <v>22</v>
      </c>
      <c r="H398" s="4" t="s">
        <v>21</v>
      </c>
      <c r="I398" s="5">
        <v>1</v>
      </c>
      <c r="J398" s="5">
        <v>52250</v>
      </c>
      <c r="K398" s="5">
        <v>33000</v>
      </c>
      <c r="L398" s="5">
        <v>52250</v>
      </c>
      <c r="M398" s="5">
        <v>19250</v>
      </c>
    </row>
    <row r="399" spans="1:13" x14ac:dyDescent="0.3">
      <c r="A399" s="5">
        <v>398</v>
      </c>
      <c r="B399" s="10">
        <v>46157</v>
      </c>
      <c r="C399" s="5">
        <v>106</v>
      </c>
      <c r="D399" s="4" t="s">
        <v>29</v>
      </c>
      <c r="E399" s="4" t="s">
        <v>28</v>
      </c>
      <c r="F399" s="5">
        <v>205</v>
      </c>
      <c r="G399" s="4" t="s">
        <v>23</v>
      </c>
      <c r="H399" s="4" t="s">
        <v>16</v>
      </c>
      <c r="I399" s="5">
        <v>3</v>
      </c>
      <c r="J399" s="5">
        <v>202400</v>
      </c>
      <c r="K399" s="5">
        <v>145000</v>
      </c>
      <c r="L399" s="5">
        <v>607200</v>
      </c>
      <c r="M399" s="5">
        <v>172200</v>
      </c>
    </row>
    <row r="400" spans="1:13" x14ac:dyDescent="0.3">
      <c r="A400" s="5">
        <v>399</v>
      </c>
      <c r="B400" s="10">
        <v>46157</v>
      </c>
      <c r="C400" s="5">
        <v>108</v>
      </c>
      <c r="D400" s="4" t="s">
        <v>30</v>
      </c>
      <c r="E400" s="4" t="s">
        <v>31</v>
      </c>
      <c r="F400" s="5">
        <v>204</v>
      </c>
      <c r="G400" s="4" t="s">
        <v>22</v>
      </c>
      <c r="H400" s="4" t="s">
        <v>21</v>
      </c>
      <c r="I400" s="5">
        <v>3</v>
      </c>
      <c r="J400" s="5">
        <v>55000</v>
      </c>
      <c r="K400" s="5">
        <v>33000</v>
      </c>
      <c r="L400" s="5">
        <v>165000</v>
      </c>
      <c r="M400" s="5">
        <v>66000</v>
      </c>
    </row>
    <row r="401" spans="1:13" x14ac:dyDescent="0.3">
      <c r="A401" s="5">
        <v>400</v>
      </c>
      <c r="B401" s="10">
        <v>46158</v>
      </c>
      <c r="C401" s="5">
        <v>108</v>
      </c>
      <c r="D401" s="4" t="s">
        <v>30</v>
      </c>
      <c r="E401" s="4" t="s">
        <v>31</v>
      </c>
      <c r="F401" s="5">
        <v>205</v>
      </c>
      <c r="G401" s="4" t="s">
        <v>23</v>
      </c>
      <c r="H401" s="4" t="s">
        <v>16</v>
      </c>
      <c r="I401" s="5">
        <v>5</v>
      </c>
      <c r="J401" s="5">
        <v>202400</v>
      </c>
      <c r="K401" s="5">
        <v>145000</v>
      </c>
      <c r="L401" s="5">
        <v>1012000</v>
      </c>
      <c r="M401" s="5">
        <v>287000</v>
      </c>
    </row>
    <row r="402" spans="1:13" x14ac:dyDescent="0.3">
      <c r="A402" s="5">
        <v>401</v>
      </c>
      <c r="B402" s="10">
        <v>46158</v>
      </c>
      <c r="C402" s="5">
        <v>107</v>
      </c>
      <c r="D402" s="4" t="s">
        <v>24</v>
      </c>
      <c r="E402" s="4" t="s">
        <v>14</v>
      </c>
      <c r="F402" s="5">
        <v>204</v>
      </c>
      <c r="G402" s="4" t="s">
        <v>22</v>
      </c>
      <c r="H402" s="4" t="s">
        <v>21</v>
      </c>
      <c r="I402" s="5">
        <v>1</v>
      </c>
      <c r="J402" s="5">
        <v>55000</v>
      </c>
      <c r="K402" s="5">
        <v>33000</v>
      </c>
      <c r="L402" s="5">
        <v>55000</v>
      </c>
      <c r="M402" s="5">
        <v>22000</v>
      </c>
    </row>
    <row r="403" spans="1:13" x14ac:dyDescent="0.3">
      <c r="A403" s="5">
        <v>402</v>
      </c>
      <c r="B403" s="10">
        <v>46158</v>
      </c>
      <c r="C403" s="5">
        <v>102</v>
      </c>
      <c r="D403" s="4" t="s">
        <v>27</v>
      </c>
      <c r="E403" s="4" t="s">
        <v>28</v>
      </c>
      <c r="F403" s="5">
        <v>203</v>
      </c>
      <c r="G403" s="4" t="s">
        <v>20</v>
      </c>
      <c r="H403" s="4" t="s">
        <v>21</v>
      </c>
      <c r="I403" s="5">
        <v>4</v>
      </c>
      <c r="J403" s="5">
        <v>92150</v>
      </c>
      <c r="K403" s="5">
        <v>62000</v>
      </c>
      <c r="L403" s="5">
        <v>368600</v>
      </c>
      <c r="M403" s="5">
        <v>120600</v>
      </c>
    </row>
    <row r="404" spans="1:13" x14ac:dyDescent="0.3">
      <c r="A404" s="5">
        <v>403</v>
      </c>
      <c r="B404" s="10">
        <v>46158</v>
      </c>
      <c r="C404" s="5">
        <v>101</v>
      </c>
      <c r="D404" s="4" t="s">
        <v>13</v>
      </c>
      <c r="E404" s="4" t="s">
        <v>14</v>
      </c>
      <c r="F404" s="5">
        <v>202</v>
      </c>
      <c r="G404" s="4" t="s">
        <v>19</v>
      </c>
      <c r="H404" s="4" t="s">
        <v>18</v>
      </c>
      <c r="I404" s="5">
        <v>5</v>
      </c>
      <c r="J404" s="5">
        <v>257600</v>
      </c>
      <c r="K404" s="5">
        <v>210000</v>
      </c>
      <c r="L404" s="5">
        <v>1288000</v>
      </c>
      <c r="M404" s="5">
        <v>238000</v>
      </c>
    </row>
    <row r="405" spans="1:13" x14ac:dyDescent="0.3">
      <c r="A405" s="5">
        <v>404</v>
      </c>
      <c r="B405" s="10">
        <v>46159</v>
      </c>
      <c r="C405" s="5">
        <v>107</v>
      </c>
      <c r="D405" s="4" t="s">
        <v>24</v>
      </c>
      <c r="E405" s="4" t="s">
        <v>14</v>
      </c>
      <c r="F405" s="5">
        <v>205</v>
      </c>
      <c r="G405" s="4" t="s">
        <v>23</v>
      </c>
      <c r="H405" s="4" t="s">
        <v>16</v>
      </c>
      <c r="I405" s="5">
        <v>5</v>
      </c>
      <c r="J405" s="5">
        <v>202400</v>
      </c>
      <c r="K405" s="5">
        <v>145000</v>
      </c>
      <c r="L405" s="5">
        <v>1012000</v>
      </c>
      <c r="M405" s="5">
        <v>287000</v>
      </c>
    </row>
    <row r="406" spans="1:13" x14ac:dyDescent="0.3">
      <c r="A406" s="5">
        <v>405</v>
      </c>
      <c r="B406" s="10">
        <v>46159</v>
      </c>
      <c r="C406" s="5">
        <v>106</v>
      </c>
      <c r="D406" s="4" t="s">
        <v>29</v>
      </c>
      <c r="E406" s="4" t="s">
        <v>28</v>
      </c>
      <c r="F406" s="5">
        <v>203</v>
      </c>
      <c r="G406" s="4" t="s">
        <v>20</v>
      </c>
      <c r="H406" s="4" t="s">
        <v>21</v>
      </c>
      <c r="I406" s="5">
        <v>4</v>
      </c>
      <c r="J406" s="5">
        <v>92150</v>
      </c>
      <c r="K406" s="5">
        <v>62000</v>
      </c>
      <c r="L406" s="5">
        <v>368600</v>
      </c>
      <c r="M406" s="5">
        <v>120600</v>
      </c>
    </row>
    <row r="407" spans="1:13" x14ac:dyDescent="0.3">
      <c r="A407" s="5">
        <v>406</v>
      </c>
      <c r="B407" s="10">
        <v>46159</v>
      </c>
      <c r="C407" s="5">
        <v>103</v>
      </c>
      <c r="D407" s="4" t="s">
        <v>32</v>
      </c>
      <c r="E407" s="4" t="s">
        <v>31</v>
      </c>
      <c r="F407" s="5">
        <v>204</v>
      </c>
      <c r="G407" s="4" t="s">
        <v>22</v>
      </c>
      <c r="H407" s="4" t="s">
        <v>21</v>
      </c>
      <c r="I407" s="5">
        <v>3</v>
      </c>
      <c r="J407" s="5">
        <v>52250</v>
      </c>
      <c r="K407" s="5">
        <v>33000</v>
      </c>
      <c r="L407" s="5">
        <v>156750</v>
      </c>
      <c r="M407" s="5">
        <v>57750</v>
      </c>
    </row>
    <row r="408" spans="1:13" x14ac:dyDescent="0.3">
      <c r="A408" s="5">
        <v>407</v>
      </c>
      <c r="B408" s="10">
        <v>46160</v>
      </c>
      <c r="C408" s="5">
        <v>104</v>
      </c>
      <c r="D408" s="4" t="s">
        <v>25</v>
      </c>
      <c r="E408" s="4" t="s">
        <v>14</v>
      </c>
      <c r="F408" s="5">
        <v>201</v>
      </c>
      <c r="G408" s="4" t="s">
        <v>17</v>
      </c>
      <c r="H408" s="4" t="s">
        <v>18</v>
      </c>
      <c r="I408" s="5">
        <v>4</v>
      </c>
      <c r="J408" s="5">
        <v>807500</v>
      </c>
      <c r="K408" s="5">
        <v>680000</v>
      </c>
      <c r="L408" s="5">
        <v>3230000</v>
      </c>
      <c r="M408" s="5">
        <v>510000</v>
      </c>
    </row>
    <row r="409" spans="1:13" x14ac:dyDescent="0.3">
      <c r="A409" s="5">
        <v>408</v>
      </c>
      <c r="B409" s="10">
        <v>46160</v>
      </c>
      <c r="C409" s="5">
        <v>108</v>
      </c>
      <c r="D409" s="4" t="s">
        <v>30</v>
      </c>
      <c r="E409" s="4" t="s">
        <v>31</v>
      </c>
      <c r="F409" s="5">
        <v>204</v>
      </c>
      <c r="G409" s="4" t="s">
        <v>22</v>
      </c>
      <c r="H409" s="4" t="s">
        <v>21</v>
      </c>
      <c r="I409" s="5">
        <v>3</v>
      </c>
      <c r="J409" s="5">
        <v>55000</v>
      </c>
      <c r="K409" s="5">
        <v>33000</v>
      </c>
      <c r="L409" s="5">
        <v>165000</v>
      </c>
      <c r="M409" s="5">
        <v>66000</v>
      </c>
    </row>
    <row r="410" spans="1:13" x14ac:dyDescent="0.3">
      <c r="A410" s="5">
        <v>409</v>
      </c>
      <c r="B410" s="10">
        <v>46160</v>
      </c>
      <c r="C410" s="5">
        <v>102</v>
      </c>
      <c r="D410" s="4" t="s">
        <v>27</v>
      </c>
      <c r="E410" s="4" t="s">
        <v>28</v>
      </c>
      <c r="F410" s="5">
        <v>203</v>
      </c>
      <c r="G410" s="4" t="s">
        <v>20</v>
      </c>
      <c r="H410" s="4" t="s">
        <v>21</v>
      </c>
      <c r="I410" s="5">
        <v>2</v>
      </c>
      <c r="J410" s="5">
        <v>92150</v>
      </c>
      <c r="K410" s="5">
        <v>62000</v>
      </c>
      <c r="L410" s="5">
        <v>184300</v>
      </c>
      <c r="M410" s="5">
        <v>60300</v>
      </c>
    </row>
    <row r="411" spans="1:13" x14ac:dyDescent="0.3">
      <c r="A411" s="5">
        <v>410</v>
      </c>
      <c r="B411" s="10">
        <v>46161</v>
      </c>
      <c r="C411" s="5">
        <v>107</v>
      </c>
      <c r="D411" s="4" t="s">
        <v>24</v>
      </c>
      <c r="E411" s="4" t="s">
        <v>14</v>
      </c>
      <c r="F411" s="5">
        <v>201</v>
      </c>
      <c r="G411" s="4" t="s">
        <v>17</v>
      </c>
      <c r="H411" s="4" t="s">
        <v>18</v>
      </c>
      <c r="I411" s="5">
        <v>2</v>
      </c>
      <c r="J411" s="5">
        <v>850000</v>
      </c>
      <c r="K411" s="5">
        <v>680000</v>
      </c>
      <c r="L411" s="5">
        <v>1700000</v>
      </c>
      <c r="M411" s="5">
        <v>340000</v>
      </c>
    </row>
    <row r="412" spans="1:13" x14ac:dyDescent="0.3">
      <c r="A412" s="5">
        <v>411</v>
      </c>
      <c r="B412" s="10">
        <v>46161</v>
      </c>
      <c r="C412" s="5">
        <v>103</v>
      </c>
      <c r="D412" s="4" t="s">
        <v>32</v>
      </c>
      <c r="E412" s="4" t="s">
        <v>31</v>
      </c>
      <c r="F412" s="5">
        <v>205</v>
      </c>
      <c r="G412" s="4" t="s">
        <v>23</v>
      </c>
      <c r="H412" s="4" t="s">
        <v>16</v>
      </c>
      <c r="I412" s="5">
        <v>1</v>
      </c>
      <c r="J412" s="5">
        <v>213400</v>
      </c>
      <c r="K412" s="5">
        <v>145000</v>
      </c>
      <c r="L412" s="5">
        <v>213400</v>
      </c>
      <c r="M412" s="5">
        <v>68400</v>
      </c>
    </row>
    <row r="413" spans="1:13" x14ac:dyDescent="0.3">
      <c r="A413" s="5">
        <v>412</v>
      </c>
      <c r="B413" s="10">
        <v>46161</v>
      </c>
      <c r="C413" s="5">
        <v>101</v>
      </c>
      <c r="D413" s="4" t="s">
        <v>13</v>
      </c>
      <c r="E413" s="4" t="s">
        <v>14</v>
      </c>
      <c r="F413" s="5">
        <v>206</v>
      </c>
      <c r="G413" s="4" t="s">
        <v>15</v>
      </c>
      <c r="H413" s="4" t="s">
        <v>16</v>
      </c>
      <c r="I413" s="5">
        <v>4</v>
      </c>
      <c r="J413" s="5">
        <v>350000</v>
      </c>
      <c r="K413" s="5">
        <v>235000</v>
      </c>
      <c r="L413" s="5">
        <v>1400000</v>
      </c>
      <c r="M413" s="5">
        <v>460000</v>
      </c>
    </row>
    <row r="414" spans="1:13" x14ac:dyDescent="0.3">
      <c r="A414" s="5">
        <v>413</v>
      </c>
      <c r="B414" s="10">
        <v>46162</v>
      </c>
      <c r="C414" s="5">
        <v>101</v>
      </c>
      <c r="D414" s="4" t="s">
        <v>13</v>
      </c>
      <c r="E414" s="4" t="s">
        <v>14</v>
      </c>
      <c r="F414" s="5">
        <v>203</v>
      </c>
      <c r="G414" s="4" t="s">
        <v>20</v>
      </c>
      <c r="H414" s="4" t="s">
        <v>21</v>
      </c>
      <c r="I414" s="5">
        <v>4</v>
      </c>
      <c r="J414" s="5">
        <v>90250</v>
      </c>
      <c r="K414" s="5">
        <v>62000</v>
      </c>
      <c r="L414" s="5">
        <v>361000</v>
      </c>
      <c r="M414" s="5">
        <v>113000</v>
      </c>
    </row>
    <row r="415" spans="1:13" x14ac:dyDescent="0.3">
      <c r="A415" s="5">
        <v>414</v>
      </c>
      <c r="B415" s="10">
        <v>46162</v>
      </c>
      <c r="C415" s="5">
        <v>108</v>
      </c>
      <c r="D415" s="4" t="s">
        <v>30</v>
      </c>
      <c r="E415" s="4" t="s">
        <v>31</v>
      </c>
      <c r="F415" s="5">
        <v>203</v>
      </c>
      <c r="G415" s="4" t="s">
        <v>20</v>
      </c>
      <c r="H415" s="4" t="s">
        <v>21</v>
      </c>
      <c r="I415" s="5">
        <v>2</v>
      </c>
      <c r="J415" s="5">
        <v>92150</v>
      </c>
      <c r="K415" s="5">
        <v>62000</v>
      </c>
      <c r="L415" s="5">
        <v>184300</v>
      </c>
      <c r="M415" s="5">
        <v>60300</v>
      </c>
    </row>
    <row r="416" spans="1:13" x14ac:dyDescent="0.3">
      <c r="A416" s="5">
        <v>415</v>
      </c>
      <c r="B416" s="10">
        <v>46163</v>
      </c>
      <c r="C416" s="5">
        <v>108</v>
      </c>
      <c r="D416" s="4" t="s">
        <v>30</v>
      </c>
      <c r="E416" s="4" t="s">
        <v>31</v>
      </c>
      <c r="F416" s="5">
        <v>202</v>
      </c>
      <c r="G416" s="4" t="s">
        <v>19</v>
      </c>
      <c r="H416" s="4" t="s">
        <v>18</v>
      </c>
      <c r="I416" s="5">
        <v>3</v>
      </c>
      <c r="J416" s="5">
        <v>266000</v>
      </c>
      <c r="K416" s="5">
        <v>210000</v>
      </c>
      <c r="L416" s="5">
        <v>798000</v>
      </c>
      <c r="M416" s="5">
        <v>168000</v>
      </c>
    </row>
    <row r="417" spans="1:13" x14ac:dyDescent="0.3">
      <c r="A417" s="5">
        <v>416</v>
      </c>
      <c r="B417" s="10">
        <v>46163</v>
      </c>
      <c r="C417" s="5">
        <v>101</v>
      </c>
      <c r="D417" s="4" t="s">
        <v>13</v>
      </c>
      <c r="E417" s="4" t="s">
        <v>14</v>
      </c>
      <c r="F417" s="5">
        <v>203</v>
      </c>
      <c r="G417" s="4" t="s">
        <v>20</v>
      </c>
      <c r="H417" s="4" t="s">
        <v>21</v>
      </c>
      <c r="I417" s="5">
        <v>3</v>
      </c>
      <c r="J417" s="5">
        <v>92150</v>
      </c>
      <c r="K417" s="5">
        <v>62000</v>
      </c>
      <c r="L417" s="5">
        <v>276450</v>
      </c>
      <c r="M417" s="5">
        <v>90450</v>
      </c>
    </row>
    <row r="418" spans="1:13" x14ac:dyDescent="0.3">
      <c r="A418" s="5">
        <v>417</v>
      </c>
      <c r="B418" s="10">
        <v>46164</v>
      </c>
      <c r="C418" s="5">
        <v>101</v>
      </c>
      <c r="D418" s="4" t="s">
        <v>13</v>
      </c>
      <c r="E418" s="4" t="s">
        <v>14</v>
      </c>
      <c r="F418" s="5">
        <v>201</v>
      </c>
      <c r="G418" s="4" t="s">
        <v>17</v>
      </c>
      <c r="H418" s="4" t="s">
        <v>18</v>
      </c>
      <c r="I418" s="5">
        <v>3</v>
      </c>
      <c r="J418" s="5">
        <v>850000</v>
      </c>
      <c r="K418" s="5">
        <v>680000</v>
      </c>
      <c r="L418" s="5">
        <v>2550000</v>
      </c>
      <c r="M418" s="5">
        <v>510000</v>
      </c>
    </row>
    <row r="419" spans="1:13" x14ac:dyDescent="0.3">
      <c r="A419" s="5">
        <v>418</v>
      </c>
      <c r="B419" s="10">
        <v>46164</v>
      </c>
      <c r="C419" s="5">
        <v>108</v>
      </c>
      <c r="D419" s="4" t="s">
        <v>30</v>
      </c>
      <c r="E419" s="4" t="s">
        <v>31</v>
      </c>
      <c r="F419" s="5">
        <v>202</v>
      </c>
      <c r="G419" s="4" t="s">
        <v>19</v>
      </c>
      <c r="H419" s="4" t="s">
        <v>18</v>
      </c>
      <c r="I419" s="5">
        <v>4</v>
      </c>
      <c r="J419" s="5">
        <v>266000</v>
      </c>
      <c r="K419" s="5">
        <v>210000</v>
      </c>
      <c r="L419" s="5">
        <v>1064000</v>
      </c>
      <c r="M419" s="5">
        <v>224000</v>
      </c>
    </row>
    <row r="420" spans="1:13" x14ac:dyDescent="0.3">
      <c r="A420" s="5">
        <v>419</v>
      </c>
      <c r="B420" s="10">
        <v>46165</v>
      </c>
      <c r="C420" s="5">
        <v>108</v>
      </c>
      <c r="D420" s="4" t="s">
        <v>30</v>
      </c>
      <c r="E420" s="4" t="s">
        <v>31</v>
      </c>
      <c r="F420" s="5">
        <v>201</v>
      </c>
      <c r="G420" s="4" t="s">
        <v>17</v>
      </c>
      <c r="H420" s="4" t="s">
        <v>18</v>
      </c>
      <c r="I420" s="5">
        <v>2</v>
      </c>
      <c r="J420" s="5">
        <v>824500</v>
      </c>
      <c r="K420" s="5">
        <v>680000</v>
      </c>
      <c r="L420" s="5">
        <v>1649000</v>
      </c>
      <c r="M420" s="5">
        <v>289000</v>
      </c>
    </row>
    <row r="421" spans="1:13" x14ac:dyDescent="0.3">
      <c r="A421" s="5">
        <v>420</v>
      </c>
      <c r="B421" s="10">
        <v>46165</v>
      </c>
      <c r="C421" s="5">
        <v>102</v>
      </c>
      <c r="D421" s="4" t="s">
        <v>27</v>
      </c>
      <c r="E421" s="4" t="s">
        <v>28</v>
      </c>
      <c r="F421" s="5">
        <v>202</v>
      </c>
      <c r="G421" s="4" t="s">
        <v>19</v>
      </c>
      <c r="H421" s="4" t="s">
        <v>18</v>
      </c>
      <c r="I421" s="5">
        <v>2</v>
      </c>
      <c r="J421" s="5">
        <v>257600</v>
      </c>
      <c r="K421" s="5">
        <v>210000</v>
      </c>
      <c r="L421" s="5">
        <v>515200</v>
      </c>
      <c r="M421" s="5">
        <v>95200</v>
      </c>
    </row>
    <row r="422" spans="1:13" x14ac:dyDescent="0.3">
      <c r="A422" s="5">
        <v>421</v>
      </c>
      <c r="B422" s="10">
        <v>46165</v>
      </c>
      <c r="C422" s="5">
        <v>103</v>
      </c>
      <c r="D422" s="4" t="s">
        <v>32</v>
      </c>
      <c r="E422" s="4" t="s">
        <v>31</v>
      </c>
      <c r="F422" s="5">
        <v>206</v>
      </c>
      <c r="G422" s="4" t="s">
        <v>15</v>
      </c>
      <c r="H422" s="4" t="s">
        <v>16</v>
      </c>
      <c r="I422" s="5">
        <v>4</v>
      </c>
      <c r="J422" s="5">
        <v>322000</v>
      </c>
      <c r="K422" s="5">
        <v>235000</v>
      </c>
      <c r="L422" s="5">
        <v>1288000</v>
      </c>
      <c r="M422" s="5">
        <v>348000</v>
      </c>
    </row>
    <row r="423" spans="1:13" x14ac:dyDescent="0.3">
      <c r="A423" s="5">
        <v>422</v>
      </c>
      <c r="B423" s="10">
        <v>46166</v>
      </c>
      <c r="C423" s="5">
        <v>108</v>
      </c>
      <c r="D423" s="4" t="s">
        <v>30</v>
      </c>
      <c r="E423" s="4" t="s">
        <v>31</v>
      </c>
      <c r="F423" s="5">
        <v>204</v>
      </c>
      <c r="G423" s="4" t="s">
        <v>22</v>
      </c>
      <c r="H423" s="4" t="s">
        <v>21</v>
      </c>
      <c r="I423" s="5">
        <v>5</v>
      </c>
      <c r="J423" s="5">
        <v>53350</v>
      </c>
      <c r="K423" s="5">
        <v>33000</v>
      </c>
      <c r="L423" s="5">
        <v>266750</v>
      </c>
      <c r="M423" s="5">
        <v>101750</v>
      </c>
    </row>
    <row r="424" spans="1:13" x14ac:dyDescent="0.3">
      <c r="A424" s="5">
        <v>423</v>
      </c>
      <c r="B424" s="10">
        <v>46166</v>
      </c>
      <c r="C424" s="5">
        <v>108</v>
      </c>
      <c r="D424" s="4" t="s">
        <v>30</v>
      </c>
      <c r="E424" s="4" t="s">
        <v>31</v>
      </c>
      <c r="F424" s="5">
        <v>204</v>
      </c>
      <c r="G424" s="4" t="s">
        <v>22</v>
      </c>
      <c r="H424" s="4" t="s">
        <v>21</v>
      </c>
      <c r="I424" s="5">
        <v>1</v>
      </c>
      <c r="J424" s="5">
        <v>53350</v>
      </c>
      <c r="K424" s="5">
        <v>33000</v>
      </c>
      <c r="L424" s="5">
        <v>53350</v>
      </c>
      <c r="M424" s="5">
        <v>20350</v>
      </c>
    </row>
    <row r="425" spans="1:13" x14ac:dyDescent="0.3">
      <c r="A425" s="5">
        <v>424</v>
      </c>
      <c r="B425" s="10">
        <v>46167</v>
      </c>
      <c r="C425" s="5">
        <v>108</v>
      </c>
      <c r="D425" s="4" t="s">
        <v>30</v>
      </c>
      <c r="E425" s="4" t="s">
        <v>31</v>
      </c>
      <c r="F425" s="5">
        <v>202</v>
      </c>
      <c r="G425" s="4" t="s">
        <v>19</v>
      </c>
      <c r="H425" s="4" t="s">
        <v>18</v>
      </c>
      <c r="I425" s="5">
        <v>2</v>
      </c>
      <c r="J425" s="5">
        <v>266000</v>
      </c>
      <c r="K425" s="5">
        <v>210000</v>
      </c>
      <c r="L425" s="5">
        <v>532000</v>
      </c>
      <c r="M425" s="5">
        <v>112000</v>
      </c>
    </row>
    <row r="426" spans="1:13" x14ac:dyDescent="0.3">
      <c r="A426" s="5">
        <v>425</v>
      </c>
      <c r="B426" s="10">
        <v>46167</v>
      </c>
      <c r="C426" s="5">
        <v>104</v>
      </c>
      <c r="D426" s="4" t="s">
        <v>25</v>
      </c>
      <c r="E426" s="4" t="s">
        <v>14</v>
      </c>
      <c r="F426" s="5">
        <v>201</v>
      </c>
      <c r="G426" s="4" t="s">
        <v>17</v>
      </c>
      <c r="H426" s="4" t="s">
        <v>18</v>
      </c>
      <c r="I426" s="5">
        <v>5</v>
      </c>
      <c r="J426" s="5">
        <v>782000</v>
      </c>
      <c r="K426" s="5">
        <v>680000</v>
      </c>
      <c r="L426" s="5">
        <v>3910000</v>
      </c>
      <c r="M426" s="5">
        <v>510000</v>
      </c>
    </row>
    <row r="427" spans="1:13" x14ac:dyDescent="0.3">
      <c r="A427" s="5">
        <v>426</v>
      </c>
      <c r="B427" s="10">
        <v>46168</v>
      </c>
      <c r="C427" s="5">
        <v>105</v>
      </c>
      <c r="D427" s="4" t="s">
        <v>33</v>
      </c>
      <c r="E427" s="4" t="s">
        <v>34</v>
      </c>
      <c r="F427" s="5">
        <v>203</v>
      </c>
      <c r="G427" s="4" t="s">
        <v>20</v>
      </c>
      <c r="H427" s="4" t="s">
        <v>21</v>
      </c>
      <c r="I427" s="5">
        <v>3</v>
      </c>
      <c r="J427" s="5">
        <v>90250</v>
      </c>
      <c r="K427" s="5">
        <v>62000</v>
      </c>
      <c r="L427" s="5">
        <v>270750</v>
      </c>
      <c r="M427" s="5">
        <v>84750</v>
      </c>
    </row>
    <row r="428" spans="1:13" x14ac:dyDescent="0.3">
      <c r="A428" s="5">
        <v>427</v>
      </c>
      <c r="B428" s="10">
        <v>46168</v>
      </c>
      <c r="C428" s="5">
        <v>102</v>
      </c>
      <c r="D428" s="4" t="s">
        <v>27</v>
      </c>
      <c r="E428" s="4" t="s">
        <v>28</v>
      </c>
      <c r="F428" s="5">
        <v>201</v>
      </c>
      <c r="G428" s="4" t="s">
        <v>17</v>
      </c>
      <c r="H428" s="4" t="s">
        <v>18</v>
      </c>
      <c r="I428" s="5">
        <v>2</v>
      </c>
      <c r="J428" s="5">
        <v>824500</v>
      </c>
      <c r="K428" s="5">
        <v>680000</v>
      </c>
      <c r="L428" s="5">
        <v>1649000</v>
      </c>
      <c r="M428" s="5">
        <v>289000</v>
      </c>
    </row>
    <row r="429" spans="1:13" x14ac:dyDescent="0.3">
      <c r="A429" s="5">
        <v>428</v>
      </c>
      <c r="B429" s="10">
        <v>46168</v>
      </c>
      <c r="C429" s="5">
        <v>102</v>
      </c>
      <c r="D429" s="4" t="s">
        <v>27</v>
      </c>
      <c r="E429" s="4" t="s">
        <v>28</v>
      </c>
      <c r="F429" s="5">
        <v>201</v>
      </c>
      <c r="G429" s="4" t="s">
        <v>17</v>
      </c>
      <c r="H429" s="4" t="s">
        <v>18</v>
      </c>
      <c r="I429" s="5">
        <v>5</v>
      </c>
      <c r="J429" s="5">
        <v>824500</v>
      </c>
      <c r="K429" s="5">
        <v>680000</v>
      </c>
      <c r="L429" s="5">
        <v>4122500</v>
      </c>
      <c r="M429" s="5">
        <v>722500</v>
      </c>
    </row>
    <row r="430" spans="1:13" x14ac:dyDescent="0.3">
      <c r="A430" s="5">
        <v>429</v>
      </c>
      <c r="B430" s="10">
        <v>46168</v>
      </c>
      <c r="C430" s="5">
        <v>105</v>
      </c>
      <c r="D430" s="4" t="s">
        <v>33</v>
      </c>
      <c r="E430" s="4" t="s">
        <v>34</v>
      </c>
      <c r="F430" s="5">
        <v>204</v>
      </c>
      <c r="G430" s="4" t="s">
        <v>22</v>
      </c>
      <c r="H430" s="4" t="s">
        <v>21</v>
      </c>
      <c r="I430" s="5">
        <v>4</v>
      </c>
      <c r="J430" s="5">
        <v>52250</v>
      </c>
      <c r="K430" s="5">
        <v>33000</v>
      </c>
      <c r="L430" s="5">
        <v>209000</v>
      </c>
      <c r="M430" s="5">
        <v>77000</v>
      </c>
    </row>
    <row r="431" spans="1:13" x14ac:dyDescent="0.3">
      <c r="A431" s="5">
        <v>430</v>
      </c>
      <c r="B431" s="10">
        <v>46169</v>
      </c>
      <c r="C431" s="5">
        <v>107</v>
      </c>
      <c r="D431" s="4" t="s">
        <v>24</v>
      </c>
      <c r="E431" s="4" t="s">
        <v>14</v>
      </c>
      <c r="F431" s="5">
        <v>203</v>
      </c>
      <c r="G431" s="4" t="s">
        <v>20</v>
      </c>
      <c r="H431" s="4" t="s">
        <v>21</v>
      </c>
      <c r="I431" s="5">
        <v>5</v>
      </c>
      <c r="J431" s="5">
        <v>92150</v>
      </c>
      <c r="K431" s="5">
        <v>62000</v>
      </c>
      <c r="L431" s="5">
        <v>460750</v>
      </c>
      <c r="M431" s="5">
        <v>150750</v>
      </c>
    </row>
    <row r="432" spans="1:13" x14ac:dyDescent="0.3">
      <c r="A432" s="5">
        <v>431</v>
      </c>
      <c r="B432" s="10">
        <v>46169</v>
      </c>
      <c r="C432" s="5">
        <v>101</v>
      </c>
      <c r="D432" s="4" t="s">
        <v>13</v>
      </c>
      <c r="E432" s="4" t="s">
        <v>14</v>
      </c>
      <c r="F432" s="5">
        <v>205</v>
      </c>
      <c r="G432" s="4" t="s">
        <v>23</v>
      </c>
      <c r="H432" s="4" t="s">
        <v>16</v>
      </c>
      <c r="I432" s="5">
        <v>1</v>
      </c>
      <c r="J432" s="5">
        <v>202400</v>
      </c>
      <c r="K432" s="5">
        <v>145000</v>
      </c>
      <c r="L432" s="5">
        <v>202400</v>
      </c>
      <c r="M432" s="5">
        <v>57400</v>
      </c>
    </row>
    <row r="433" spans="1:13" x14ac:dyDescent="0.3">
      <c r="A433" s="5">
        <v>432</v>
      </c>
      <c r="B433" s="10">
        <v>46170</v>
      </c>
      <c r="C433" s="5">
        <v>102</v>
      </c>
      <c r="D433" s="4" t="s">
        <v>27</v>
      </c>
      <c r="E433" s="4" t="s">
        <v>28</v>
      </c>
      <c r="F433" s="5">
        <v>204</v>
      </c>
      <c r="G433" s="4" t="s">
        <v>22</v>
      </c>
      <c r="H433" s="4" t="s">
        <v>21</v>
      </c>
      <c r="I433" s="5">
        <v>5</v>
      </c>
      <c r="J433" s="5">
        <v>53350</v>
      </c>
      <c r="K433" s="5">
        <v>33000</v>
      </c>
      <c r="L433" s="5">
        <v>266750</v>
      </c>
      <c r="M433" s="5">
        <v>101750</v>
      </c>
    </row>
    <row r="434" spans="1:13" x14ac:dyDescent="0.3">
      <c r="A434" s="5">
        <v>433</v>
      </c>
      <c r="B434" s="10">
        <v>46170</v>
      </c>
      <c r="C434" s="5">
        <v>101</v>
      </c>
      <c r="D434" s="4" t="s">
        <v>13</v>
      </c>
      <c r="E434" s="4" t="s">
        <v>14</v>
      </c>
      <c r="F434" s="5">
        <v>202</v>
      </c>
      <c r="G434" s="4" t="s">
        <v>19</v>
      </c>
      <c r="H434" s="4" t="s">
        <v>18</v>
      </c>
      <c r="I434" s="5">
        <v>5</v>
      </c>
      <c r="J434" s="5">
        <v>266000</v>
      </c>
      <c r="K434" s="5">
        <v>210000</v>
      </c>
      <c r="L434" s="5">
        <v>1330000</v>
      </c>
      <c r="M434" s="5">
        <v>280000</v>
      </c>
    </row>
    <row r="435" spans="1:13" x14ac:dyDescent="0.3">
      <c r="A435" s="5">
        <v>434</v>
      </c>
      <c r="B435" s="10">
        <v>46171</v>
      </c>
      <c r="C435" s="5">
        <v>104</v>
      </c>
      <c r="D435" s="4" t="s">
        <v>25</v>
      </c>
      <c r="E435" s="4" t="s">
        <v>14</v>
      </c>
      <c r="F435" s="5">
        <v>202</v>
      </c>
      <c r="G435" s="4" t="s">
        <v>19</v>
      </c>
      <c r="H435" s="4" t="s">
        <v>18</v>
      </c>
      <c r="I435" s="5">
        <v>1</v>
      </c>
      <c r="J435" s="5">
        <v>257600</v>
      </c>
      <c r="K435" s="5">
        <v>210000</v>
      </c>
      <c r="L435" s="5">
        <v>257600</v>
      </c>
      <c r="M435" s="5">
        <v>47600</v>
      </c>
    </row>
    <row r="436" spans="1:13" x14ac:dyDescent="0.3">
      <c r="A436" s="5">
        <v>435</v>
      </c>
      <c r="B436" s="10">
        <v>46171</v>
      </c>
      <c r="C436" s="5">
        <v>105</v>
      </c>
      <c r="D436" s="4" t="s">
        <v>33</v>
      </c>
      <c r="E436" s="4" t="s">
        <v>34</v>
      </c>
      <c r="F436" s="5">
        <v>202</v>
      </c>
      <c r="G436" s="4" t="s">
        <v>19</v>
      </c>
      <c r="H436" s="4" t="s">
        <v>18</v>
      </c>
      <c r="I436" s="5">
        <v>4</v>
      </c>
      <c r="J436" s="5">
        <v>271600</v>
      </c>
      <c r="K436" s="5">
        <v>210000</v>
      </c>
      <c r="L436" s="5">
        <v>1086400</v>
      </c>
      <c r="M436" s="5">
        <v>246400</v>
      </c>
    </row>
    <row r="437" spans="1:13" x14ac:dyDescent="0.3">
      <c r="A437" s="5">
        <v>436</v>
      </c>
      <c r="B437" s="10">
        <v>46172</v>
      </c>
      <c r="C437" s="5">
        <v>104</v>
      </c>
      <c r="D437" s="4" t="s">
        <v>25</v>
      </c>
      <c r="E437" s="4" t="s">
        <v>14</v>
      </c>
      <c r="F437" s="5">
        <v>202</v>
      </c>
      <c r="G437" s="4" t="s">
        <v>19</v>
      </c>
      <c r="H437" s="4" t="s">
        <v>18</v>
      </c>
      <c r="I437" s="5">
        <v>2</v>
      </c>
      <c r="J437" s="5">
        <v>257600</v>
      </c>
      <c r="K437" s="5">
        <v>210000</v>
      </c>
      <c r="L437" s="5">
        <v>515200</v>
      </c>
      <c r="M437" s="5">
        <v>95200</v>
      </c>
    </row>
    <row r="438" spans="1:13" x14ac:dyDescent="0.3">
      <c r="A438" s="5">
        <v>437</v>
      </c>
      <c r="B438" s="10">
        <v>46172</v>
      </c>
      <c r="C438" s="5">
        <v>106</v>
      </c>
      <c r="D438" s="4" t="s">
        <v>29</v>
      </c>
      <c r="E438" s="4" t="s">
        <v>28</v>
      </c>
      <c r="F438" s="5">
        <v>201</v>
      </c>
      <c r="G438" s="4" t="s">
        <v>17</v>
      </c>
      <c r="H438" s="4" t="s">
        <v>18</v>
      </c>
      <c r="I438" s="5">
        <v>5</v>
      </c>
      <c r="J438" s="5">
        <v>807500</v>
      </c>
      <c r="K438" s="5">
        <v>680000</v>
      </c>
      <c r="L438" s="5">
        <v>4037500</v>
      </c>
      <c r="M438" s="5">
        <v>637500</v>
      </c>
    </row>
    <row r="439" spans="1:13" x14ac:dyDescent="0.3">
      <c r="A439" s="5">
        <v>438</v>
      </c>
      <c r="B439" s="10">
        <v>46173</v>
      </c>
      <c r="C439" s="5">
        <v>106</v>
      </c>
      <c r="D439" s="4" t="s">
        <v>29</v>
      </c>
      <c r="E439" s="4" t="s">
        <v>28</v>
      </c>
      <c r="F439" s="5">
        <v>203</v>
      </c>
      <c r="G439" s="4" t="s">
        <v>20</v>
      </c>
      <c r="H439" s="4" t="s">
        <v>21</v>
      </c>
      <c r="I439" s="5">
        <v>3</v>
      </c>
      <c r="J439" s="5">
        <v>90250</v>
      </c>
      <c r="K439" s="5">
        <v>62000</v>
      </c>
      <c r="L439" s="5">
        <v>270750</v>
      </c>
      <c r="M439" s="5">
        <v>84750</v>
      </c>
    </row>
    <row r="440" spans="1:13" x14ac:dyDescent="0.3">
      <c r="A440" s="5">
        <v>439</v>
      </c>
      <c r="B440" s="10">
        <v>46173</v>
      </c>
      <c r="C440" s="5">
        <v>106</v>
      </c>
      <c r="D440" s="4" t="s">
        <v>29</v>
      </c>
      <c r="E440" s="4" t="s">
        <v>28</v>
      </c>
      <c r="F440" s="5">
        <v>202</v>
      </c>
      <c r="G440" s="4" t="s">
        <v>19</v>
      </c>
      <c r="H440" s="4" t="s">
        <v>18</v>
      </c>
      <c r="I440" s="5">
        <v>2</v>
      </c>
      <c r="J440" s="5">
        <v>280000</v>
      </c>
      <c r="K440" s="5">
        <v>210000</v>
      </c>
      <c r="L440" s="5">
        <v>560000</v>
      </c>
      <c r="M440" s="5">
        <v>140000</v>
      </c>
    </row>
    <row r="441" spans="1:13" x14ac:dyDescent="0.3">
      <c r="A441" s="5">
        <v>440</v>
      </c>
      <c r="B441" s="10">
        <v>46173</v>
      </c>
      <c r="C441" s="5">
        <v>103</v>
      </c>
      <c r="D441" s="4" t="s">
        <v>32</v>
      </c>
      <c r="E441" s="4" t="s">
        <v>31</v>
      </c>
      <c r="F441" s="5">
        <v>201</v>
      </c>
      <c r="G441" s="4" t="s">
        <v>17</v>
      </c>
      <c r="H441" s="4" t="s">
        <v>18</v>
      </c>
      <c r="I441" s="5">
        <v>1</v>
      </c>
      <c r="J441" s="5">
        <v>782000</v>
      </c>
      <c r="K441" s="5">
        <v>680000</v>
      </c>
      <c r="L441" s="5">
        <v>782000</v>
      </c>
      <c r="M441" s="5">
        <v>102000</v>
      </c>
    </row>
    <row r="442" spans="1:13" x14ac:dyDescent="0.3">
      <c r="A442" s="5">
        <v>441</v>
      </c>
      <c r="B442" s="10">
        <v>46173</v>
      </c>
      <c r="C442" s="5">
        <v>101</v>
      </c>
      <c r="D442" s="4" t="s">
        <v>13</v>
      </c>
      <c r="E442" s="4" t="s">
        <v>14</v>
      </c>
      <c r="F442" s="5">
        <v>206</v>
      </c>
      <c r="G442" s="4" t="s">
        <v>15</v>
      </c>
      <c r="H442" s="4" t="s">
        <v>16</v>
      </c>
      <c r="I442" s="5">
        <v>1</v>
      </c>
      <c r="J442" s="5">
        <v>322000</v>
      </c>
      <c r="K442" s="5">
        <v>235000</v>
      </c>
      <c r="L442" s="5">
        <v>322000</v>
      </c>
      <c r="M442" s="5">
        <v>87000</v>
      </c>
    </row>
    <row r="443" spans="1:13" x14ac:dyDescent="0.3">
      <c r="A443" s="5">
        <v>442</v>
      </c>
      <c r="B443" s="10">
        <v>46174</v>
      </c>
      <c r="C443" s="5">
        <v>105</v>
      </c>
      <c r="D443" s="4" t="s">
        <v>33</v>
      </c>
      <c r="E443" s="4" t="s">
        <v>34</v>
      </c>
      <c r="F443" s="5">
        <v>202</v>
      </c>
      <c r="G443" s="4" t="s">
        <v>19</v>
      </c>
      <c r="H443" s="4" t="s">
        <v>18</v>
      </c>
      <c r="I443" s="5">
        <v>3</v>
      </c>
      <c r="J443" s="5">
        <v>271600</v>
      </c>
      <c r="K443" s="5">
        <v>210000</v>
      </c>
      <c r="L443" s="5">
        <v>814800</v>
      </c>
      <c r="M443" s="5">
        <v>184800</v>
      </c>
    </row>
    <row r="444" spans="1:13" x14ac:dyDescent="0.3">
      <c r="A444" s="5">
        <v>443</v>
      </c>
      <c r="B444" s="10">
        <v>46174</v>
      </c>
      <c r="C444" s="5">
        <v>105</v>
      </c>
      <c r="D444" s="4" t="s">
        <v>33</v>
      </c>
      <c r="E444" s="4" t="s">
        <v>34</v>
      </c>
      <c r="F444" s="5">
        <v>203</v>
      </c>
      <c r="G444" s="4" t="s">
        <v>20</v>
      </c>
      <c r="H444" s="4" t="s">
        <v>21</v>
      </c>
      <c r="I444" s="5">
        <v>3</v>
      </c>
      <c r="J444" s="5">
        <v>87400</v>
      </c>
      <c r="K444" s="5">
        <v>62000</v>
      </c>
      <c r="L444" s="5">
        <v>262200</v>
      </c>
      <c r="M444" s="5">
        <v>76200</v>
      </c>
    </row>
    <row r="445" spans="1:13" x14ac:dyDescent="0.3">
      <c r="A445" s="5">
        <v>444</v>
      </c>
      <c r="B445" s="10">
        <v>46175</v>
      </c>
      <c r="C445" s="5">
        <v>103</v>
      </c>
      <c r="D445" s="4" t="s">
        <v>32</v>
      </c>
      <c r="E445" s="4" t="s">
        <v>31</v>
      </c>
      <c r="F445" s="5">
        <v>201</v>
      </c>
      <c r="G445" s="4" t="s">
        <v>17</v>
      </c>
      <c r="H445" s="4" t="s">
        <v>18</v>
      </c>
      <c r="I445" s="5">
        <v>2</v>
      </c>
      <c r="J445" s="5">
        <v>850000</v>
      </c>
      <c r="K445" s="5">
        <v>680000</v>
      </c>
      <c r="L445" s="5">
        <v>1700000</v>
      </c>
      <c r="M445" s="5">
        <v>340000</v>
      </c>
    </row>
    <row r="446" spans="1:13" x14ac:dyDescent="0.3">
      <c r="A446" s="5">
        <v>445</v>
      </c>
      <c r="B446" s="10">
        <v>46175</v>
      </c>
      <c r="C446" s="5">
        <v>102</v>
      </c>
      <c r="D446" s="4" t="s">
        <v>27</v>
      </c>
      <c r="E446" s="4" t="s">
        <v>28</v>
      </c>
      <c r="F446" s="5">
        <v>206</v>
      </c>
      <c r="G446" s="4" t="s">
        <v>15</v>
      </c>
      <c r="H446" s="4" t="s">
        <v>16</v>
      </c>
      <c r="I446" s="5">
        <v>1</v>
      </c>
      <c r="J446" s="5">
        <v>339500</v>
      </c>
      <c r="K446" s="5">
        <v>235000</v>
      </c>
      <c r="L446" s="5">
        <v>339500</v>
      </c>
      <c r="M446" s="5">
        <v>104500</v>
      </c>
    </row>
    <row r="447" spans="1:13" x14ac:dyDescent="0.3">
      <c r="A447" s="5">
        <v>446</v>
      </c>
      <c r="B447" s="10">
        <v>46175</v>
      </c>
      <c r="C447" s="5">
        <v>107</v>
      </c>
      <c r="D447" s="4" t="s">
        <v>24</v>
      </c>
      <c r="E447" s="4" t="s">
        <v>14</v>
      </c>
      <c r="F447" s="5">
        <v>206</v>
      </c>
      <c r="G447" s="4" t="s">
        <v>15</v>
      </c>
      <c r="H447" s="4" t="s">
        <v>16</v>
      </c>
      <c r="I447" s="5">
        <v>1</v>
      </c>
      <c r="J447" s="5">
        <v>350000</v>
      </c>
      <c r="K447" s="5">
        <v>235000</v>
      </c>
      <c r="L447" s="5">
        <v>350000</v>
      </c>
      <c r="M447" s="5">
        <v>115000</v>
      </c>
    </row>
    <row r="448" spans="1:13" x14ac:dyDescent="0.3">
      <c r="A448" s="5">
        <v>447</v>
      </c>
      <c r="B448" s="10">
        <v>46176</v>
      </c>
      <c r="C448" s="5">
        <v>105</v>
      </c>
      <c r="D448" s="4" t="s">
        <v>33</v>
      </c>
      <c r="E448" s="4" t="s">
        <v>34</v>
      </c>
      <c r="F448" s="5">
        <v>206</v>
      </c>
      <c r="G448" s="4" t="s">
        <v>15</v>
      </c>
      <c r="H448" s="4" t="s">
        <v>16</v>
      </c>
      <c r="I448" s="5">
        <v>2</v>
      </c>
      <c r="J448" s="5">
        <v>350000</v>
      </c>
      <c r="K448" s="5">
        <v>235000</v>
      </c>
      <c r="L448" s="5">
        <v>700000</v>
      </c>
      <c r="M448" s="5">
        <v>230000</v>
      </c>
    </row>
    <row r="449" spans="1:13" x14ac:dyDescent="0.3">
      <c r="A449" s="5">
        <v>448</v>
      </c>
      <c r="B449" s="10">
        <v>46176</v>
      </c>
      <c r="C449" s="5">
        <v>103</v>
      </c>
      <c r="D449" s="4" t="s">
        <v>32</v>
      </c>
      <c r="E449" s="4" t="s">
        <v>31</v>
      </c>
      <c r="F449" s="5">
        <v>206</v>
      </c>
      <c r="G449" s="4" t="s">
        <v>15</v>
      </c>
      <c r="H449" s="4" t="s">
        <v>16</v>
      </c>
      <c r="I449" s="5">
        <v>1</v>
      </c>
      <c r="J449" s="5">
        <v>339500</v>
      </c>
      <c r="K449" s="5">
        <v>235000</v>
      </c>
      <c r="L449" s="5">
        <v>339500</v>
      </c>
      <c r="M449" s="5">
        <v>104500</v>
      </c>
    </row>
    <row r="450" spans="1:13" x14ac:dyDescent="0.3">
      <c r="A450" s="5">
        <v>449</v>
      </c>
      <c r="B450" s="10">
        <v>46176</v>
      </c>
      <c r="C450" s="5">
        <v>101</v>
      </c>
      <c r="D450" s="4" t="s">
        <v>13</v>
      </c>
      <c r="E450" s="4" t="s">
        <v>14</v>
      </c>
      <c r="F450" s="5">
        <v>201</v>
      </c>
      <c r="G450" s="4" t="s">
        <v>17</v>
      </c>
      <c r="H450" s="4" t="s">
        <v>18</v>
      </c>
      <c r="I450" s="5">
        <v>5</v>
      </c>
      <c r="J450" s="5">
        <v>850000</v>
      </c>
      <c r="K450" s="5">
        <v>680000</v>
      </c>
      <c r="L450" s="5">
        <v>4250000</v>
      </c>
      <c r="M450" s="5">
        <v>850000</v>
      </c>
    </row>
    <row r="451" spans="1:13" x14ac:dyDescent="0.3">
      <c r="A451" s="5">
        <v>450</v>
      </c>
      <c r="B451" s="10">
        <v>46177</v>
      </c>
      <c r="C451" s="5">
        <v>108</v>
      </c>
      <c r="D451" s="4" t="s">
        <v>30</v>
      </c>
      <c r="E451" s="4" t="s">
        <v>31</v>
      </c>
      <c r="F451" s="5">
        <v>204</v>
      </c>
      <c r="G451" s="4" t="s">
        <v>22</v>
      </c>
      <c r="H451" s="4" t="s">
        <v>21</v>
      </c>
      <c r="I451" s="5">
        <v>1</v>
      </c>
      <c r="J451" s="5">
        <v>53350</v>
      </c>
      <c r="K451" s="5">
        <v>33000</v>
      </c>
      <c r="L451" s="5">
        <v>53350</v>
      </c>
      <c r="M451" s="5">
        <v>20350</v>
      </c>
    </row>
    <row r="452" spans="1:13" x14ac:dyDescent="0.3">
      <c r="A452" s="5">
        <v>451</v>
      </c>
      <c r="B452" s="10">
        <v>46177</v>
      </c>
      <c r="C452" s="5">
        <v>108</v>
      </c>
      <c r="D452" s="4" t="s">
        <v>30</v>
      </c>
      <c r="E452" s="4" t="s">
        <v>31</v>
      </c>
      <c r="F452" s="5">
        <v>203</v>
      </c>
      <c r="G452" s="4" t="s">
        <v>20</v>
      </c>
      <c r="H452" s="4" t="s">
        <v>21</v>
      </c>
      <c r="I452" s="5">
        <v>3</v>
      </c>
      <c r="J452" s="5">
        <v>90250</v>
      </c>
      <c r="K452" s="5">
        <v>62000</v>
      </c>
      <c r="L452" s="5">
        <v>270750</v>
      </c>
      <c r="M452" s="5">
        <v>84750</v>
      </c>
    </row>
    <row r="453" spans="1:13" x14ac:dyDescent="0.3">
      <c r="A453" s="5">
        <v>452</v>
      </c>
      <c r="B453" s="10">
        <v>46178</v>
      </c>
      <c r="C453" s="5">
        <v>102</v>
      </c>
      <c r="D453" s="4" t="s">
        <v>27</v>
      </c>
      <c r="E453" s="4" t="s">
        <v>28</v>
      </c>
      <c r="F453" s="5">
        <v>206</v>
      </c>
      <c r="G453" s="4" t="s">
        <v>15</v>
      </c>
      <c r="H453" s="4" t="s">
        <v>16</v>
      </c>
      <c r="I453" s="5">
        <v>5</v>
      </c>
      <c r="J453" s="5">
        <v>350000</v>
      </c>
      <c r="K453" s="5">
        <v>235000</v>
      </c>
      <c r="L453" s="5">
        <v>1750000</v>
      </c>
      <c r="M453" s="5">
        <v>575000</v>
      </c>
    </row>
    <row r="454" spans="1:13" x14ac:dyDescent="0.3">
      <c r="A454" s="5">
        <v>453</v>
      </c>
      <c r="B454" s="10">
        <v>46178</v>
      </c>
      <c r="C454" s="5">
        <v>107</v>
      </c>
      <c r="D454" s="4" t="s">
        <v>24</v>
      </c>
      <c r="E454" s="4" t="s">
        <v>14</v>
      </c>
      <c r="F454" s="5">
        <v>205</v>
      </c>
      <c r="G454" s="4" t="s">
        <v>23</v>
      </c>
      <c r="H454" s="4" t="s">
        <v>16</v>
      </c>
      <c r="I454" s="5">
        <v>4</v>
      </c>
      <c r="J454" s="5">
        <v>213400</v>
      </c>
      <c r="K454" s="5">
        <v>145000</v>
      </c>
      <c r="L454" s="5">
        <v>853600</v>
      </c>
      <c r="M454" s="5">
        <v>273600</v>
      </c>
    </row>
    <row r="455" spans="1:13" x14ac:dyDescent="0.3">
      <c r="A455" s="5">
        <v>454</v>
      </c>
      <c r="B455" s="10">
        <v>46178</v>
      </c>
      <c r="C455" s="5">
        <v>104</v>
      </c>
      <c r="D455" s="4" t="s">
        <v>25</v>
      </c>
      <c r="E455" s="4" t="s">
        <v>14</v>
      </c>
      <c r="F455" s="5">
        <v>206</v>
      </c>
      <c r="G455" s="4" t="s">
        <v>15</v>
      </c>
      <c r="H455" s="4" t="s">
        <v>16</v>
      </c>
      <c r="I455" s="5">
        <v>1</v>
      </c>
      <c r="J455" s="5">
        <v>322000</v>
      </c>
      <c r="K455" s="5">
        <v>235000</v>
      </c>
      <c r="L455" s="5">
        <v>322000</v>
      </c>
      <c r="M455" s="5">
        <v>87000</v>
      </c>
    </row>
    <row r="456" spans="1:13" x14ac:dyDescent="0.3">
      <c r="A456" s="5">
        <v>455</v>
      </c>
      <c r="B456" s="10">
        <v>46179</v>
      </c>
      <c r="C456" s="5">
        <v>106</v>
      </c>
      <c r="D456" s="4" t="s">
        <v>29</v>
      </c>
      <c r="E456" s="4" t="s">
        <v>28</v>
      </c>
      <c r="F456" s="5">
        <v>203</v>
      </c>
      <c r="G456" s="4" t="s">
        <v>20</v>
      </c>
      <c r="H456" s="4" t="s">
        <v>21</v>
      </c>
      <c r="I456" s="5">
        <v>3</v>
      </c>
      <c r="J456" s="5">
        <v>95000</v>
      </c>
      <c r="K456" s="5">
        <v>62000</v>
      </c>
      <c r="L456" s="5">
        <v>285000</v>
      </c>
      <c r="M456" s="5">
        <v>99000</v>
      </c>
    </row>
    <row r="457" spans="1:13" x14ac:dyDescent="0.3">
      <c r="A457" s="5">
        <v>456</v>
      </c>
      <c r="B457" s="10">
        <v>46179</v>
      </c>
      <c r="C457" s="5">
        <v>108</v>
      </c>
      <c r="D457" s="4" t="s">
        <v>30</v>
      </c>
      <c r="E457" s="4" t="s">
        <v>31</v>
      </c>
      <c r="F457" s="5">
        <v>203</v>
      </c>
      <c r="G457" s="4" t="s">
        <v>20</v>
      </c>
      <c r="H457" s="4" t="s">
        <v>21</v>
      </c>
      <c r="I457" s="5">
        <v>1</v>
      </c>
      <c r="J457" s="5">
        <v>87400</v>
      </c>
      <c r="K457" s="5">
        <v>62000</v>
      </c>
      <c r="L457" s="5">
        <v>87400</v>
      </c>
      <c r="M457" s="5">
        <v>25400</v>
      </c>
    </row>
    <row r="458" spans="1:13" x14ac:dyDescent="0.3">
      <c r="A458" s="5">
        <v>457</v>
      </c>
      <c r="B458" s="10">
        <v>46179</v>
      </c>
      <c r="C458" s="5">
        <v>106</v>
      </c>
      <c r="D458" s="4" t="s">
        <v>29</v>
      </c>
      <c r="E458" s="4" t="s">
        <v>28</v>
      </c>
      <c r="F458" s="5">
        <v>204</v>
      </c>
      <c r="G458" s="4" t="s">
        <v>22</v>
      </c>
      <c r="H458" s="4" t="s">
        <v>21</v>
      </c>
      <c r="I458" s="5">
        <v>1</v>
      </c>
      <c r="J458" s="5">
        <v>50600</v>
      </c>
      <c r="K458" s="5">
        <v>33000</v>
      </c>
      <c r="L458" s="5">
        <v>50600</v>
      </c>
      <c r="M458" s="5">
        <v>17600</v>
      </c>
    </row>
    <row r="459" spans="1:13" x14ac:dyDescent="0.3">
      <c r="A459" s="5">
        <v>458</v>
      </c>
      <c r="B459" s="10">
        <v>46179</v>
      </c>
      <c r="C459" s="5">
        <v>106</v>
      </c>
      <c r="D459" s="4" t="s">
        <v>29</v>
      </c>
      <c r="E459" s="4" t="s">
        <v>28</v>
      </c>
      <c r="F459" s="5">
        <v>205</v>
      </c>
      <c r="G459" s="4" t="s">
        <v>23</v>
      </c>
      <c r="H459" s="4" t="s">
        <v>16</v>
      </c>
      <c r="I459" s="5">
        <v>5</v>
      </c>
      <c r="J459" s="5">
        <v>220000</v>
      </c>
      <c r="K459" s="5">
        <v>145000</v>
      </c>
      <c r="L459" s="5">
        <v>1100000</v>
      </c>
      <c r="M459" s="5">
        <v>375000</v>
      </c>
    </row>
    <row r="460" spans="1:13" x14ac:dyDescent="0.3">
      <c r="A460" s="5">
        <v>459</v>
      </c>
      <c r="B460" s="10">
        <v>46180</v>
      </c>
      <c r="C460" s="5">
        <v>108</v>
      </c>
      <c r="D460" s="4" t="s">
        <v>30</v>
      </c>
      <c r="E460" s="4" t="s">
        <v>31</v>
      </c>
      <c r="F460" s="5">
        <v>204</v>
      </c>
      <c r="G460" s="4" t="s">
        <v>22</v>
      </c>
      <c r="H460" s="4" t="s">
        <v>21</v>
      </c>
      <c r="I460" s="5">
        <v>3</v>
      </c>
      <c r="J460" s="5">
        <v>53350</v>
      </c>
      <c r="K460" s="5">
        <v>33000</v>
      </c>
      <c r="L460" s="5">
        <v>160050</v>
      </c>
      <c r="M460" s="5">
        <v>61050</v>
      </c>
    </row>
    <row r="461" spans="1:13" x14ac:dyDescent="0.3">
      <c r="A461" s="5">
        <v>460</v>
      </c>
      <c r="B461" s="10">
        <v>46180</v>
      </c>
      <c r="C461" s="5">
        <v>106</v>
      </c>
      <c r="D461" s="4" t="s">
        <v>29</v>
      </c>
      <c r="E461" s="4" t="s">
        <v>28</v>
      </c>
      <c r="F461" s="5">
        <v>205</v>
      </c>
      <c r="G461" s="4" t="s">
        <v>23</v>
      </c>
      <c r="H461" s="4" t="s">
        <v>16</v>
      </c>
      <c r="I461" s="5">
        <v>1</v>
      </c>
      <c r="J461" s="5">
        <v>209000</v>
      </c>
      <c r="K461" s="5">
        <v>145000</v>
      </c>
      <c r="L461" s="5">
        <v>209000</v>
      </c>
      <c r="M461" s="5">
        <v>64000</v>
      </c>
    </row>
    <row r="462" spans="1:13" x14ac:dyDescent="0.3">
      <c r="A462" s="5">
        <v>461</v>
      </c>
      <c r="B462" s="10">
        <v>46181</v>
      </c>
      <c r="C462" s="5">
        <v>103</v>
      </c>
      <c r="D462" s="4" t="s">
        <v>32</v>
      </c>
      <c r="E462" s="4" t="s">
        <v>31</v>
      </c>
      <c r="F462" s="5">
        <v>202</v>
      </c>
      <c r="G462" s="4" t="s">
        <v>19</v>
      </c>
      <c r="H462" s="4" t="s">
        <v>18</v>
      </c>
      <c r="I462" s="5">
        <v>5</v>
      </c>
      <c r="J462" s="5">
        <v>280000</v>
      </c>
      <c r="K462" s="5">
        <v>210000</v>
      </c>
      <c r="L462" s="5">
        <v>1400000</v>
      </c>
      <c r="M462" s="5">
        <v>350000</v>
      </c>
    </row>
    <row r="463" spans="1:13" x14ac:dyDescent="0.3">
      <c r="A463" s="5">
        <v>462</v>
      </c>
      <c r="B463" s="10">
        <v>46181</v>
      </c>
      <c r="C463" s="5">
        <v>104</v>
      </c>
      <c r="D463" s="4" t="s">
        <v>25</v>
      </c>
      <c r="E463" s="4" t="s">
        <v>14</v>
      </c>
      <c r="F463" s="5">
        <v>203</v>
      </c>
      <c r="G463" s="4" t="s">
        <v>20</v>
      </c>
      <c r="H463" s="4" t="s">
        <v>21</v>
      </c>
      <c r="I463" s="5">
        <v>4</v>
      </c>
      <c r="J463" s="5">
        <v>95000</v>
      </c>
      <c r="K463" s="5">
        <v>62000</v>
      </c>
      <c r="L463" s="5">
        <v>380000</v>
      </c>
      <c r="M463" s="5">
        <v>132000</v>
      </c>
    </row>
    <row r="464" spans="1:13" x14ac:dyDescent="0.3">
      <c r="A464" s="5">
        <v>463</v>
      </c>
      <c r="B464" s="10">
        <v>46181</v>
      </c>
      <c r="C464" s="5">
        <v>104</v>
      </c>
      <c r="D464" s="4" t="s">
        <v>25</v>
      </c>
      <c r="E464" s="4" t="s">
        <v>14</v>
      </c>
      <c r="F464" s="5">
        <v>201</v>
      </c>
      <c r="G464" s="4" t="s">
        <v>17</v>
      </c>
      <c r="H464" s="4" t="s">
        <v>18</v>
      </c>
      <c r="I464" s="5">
        <v>4</v>
      </c>
      <c r="J464" s="5">
        <v>807500</v>
      </c>
      <c r="K464" s="5">
        <v>680000</v>
      </c>
      <c r="L464" s="5">
        <v>3230000</v>
      </c>
      <c r="M464" s="5">
        <v>510000</v>
      </c>
    </row>
    <row r="465" spans="1:13" x14ac:dyDescent="0.3">
      <c r="A465" s="5">
        <v>464</v>
      </c>
      <c r="B465" s="10">
        <v>46181</v>
      </c>
      <c r="C465" s="5">
        <v>104</v>
      </c>
      <c r="D465" s="4" t="s">
        <v>25</v>
      </c>
      <c r="E465" s="4" t="s">
        <v>14</v>
      </c>
      <c r="F465" s="5">
        <v>203</v>
      </c>
      <c r="G465" s="4" t="s">
        <v>20</v>
      </c>
      <c r="H465" s="4" t="s">
        <v>21</v>
      </c>
      <c r="I465" s="5">
        <v>1</v>
      </c>
      <c r="J465" s="5">
        <v>87400</v>
      </c>
      <c r="K465" s="5">
        <v>62000</v>
      </c>
      <c r="L465" s="5">
        <v>87400</v>
      </c>
      <c r="M465" s="5">
        <v>25400</v>
      </c>
    </row>
    <row r="466" spans="1:13" x14ac:dyDescent="0.3">
      <c r="A466" s="5">
        <v>465</v>
      </c>
      <c r="B466" s="10">
        <v>46182</v>
      </c>
      <c r="C466" s="5">
        <v>103</v>
      </c>
      <c r="D466" s="4" t="s">
        <v>32</v>
      </c>
      <c r="E466" s="4" t="s">
        <v>31</v>
      </c>
      <c r="F466" s="5">
        <v>203</v>
      </c>
      <c r="G466" s="4" t="s">
        <v>20</v>
      </c>
      <c r="H466" s="4" t="s">
        <v>21</v>
      </c>
      <c r="I466" s="5">
        <v>4</v>
      </c>
      <c r="J466" s="5">
        <v>90250</v>
      </c>
      <c r="K466" s="5">
        <v>62000</v>
      </c>
      <c r="L466" s="5">
        <v>361000</v>
      </c>
      <c r="M466" s="5">
        <v>113000</v>
      </c>
    </row>
    <row r="467" spans="1:13" x14ac:dyDescent="0.3">
      <c r="A467" s="5">
        <v>466</v>
      </c>
      <c r="B467" s="10">
        <v>46182</v>
      </c>
      <c r="C467" s="5">
        <v>104</v>
      </c>
      <c r="D467" s="4" t="s">
        <v>25</v>
      </c>
      <c r="E467" s="4" t="s">
        <v>14</v>
      </c>
      <c r="F467" s="5">
        <v>202</v>
      </c>
      <c r="G467" s="4" t="s">
        <v>19</v>
      </c>
      <c r="H467" s="4" t="s">
        <v>18</v>
      </c>
      <c r="I467" s="5">
        <v>4</v>
      </c>
      <c r="J467" s="5">
        <v>266000</v>
      </c>
      <c r="K467" s="5">
        <v>210000</v>
      </c>
      <c r="L467" s="5">
        <v>1064000</v>
      </c>
      <c r="M467" s="5">
        <v>224000</v>
      </c>
    </row>
    <row r="468" spans="1:13" x14ac:dyDescent="0.3">
      <c r="A468" s="5">
        <v>467</v>
      </c>
      <c r="B468" s="10">
        <v>46182</v>
      </c>
      <c r="C468" s="5">
        <v>105</v>
      </c>
      <c r="D468" s="4" t="s">
        <v>33</v>
      </c>
      <c r="E468" s="4" t="s">
        <v>34</v>
      </c>
      <c r="F468" s="5">
        <v>201</v>
      </c>
      <c r="G468" s="4" t="s">
        <v>17</v>
      </c>
      <c r="H468" s="4" t="s">
        <v>18</v>
      </c>
      <c r="I468" s="5">
        <v>3</v>
      </c>
      <c r="J468" s="5">
        <v>807500</v>
      </c>
      <c r="K468" s="5">
        <v>680000</v>
      </c>
      <c r="L468" s="5">
        <v>2422500</v>
      </c>
      <c r="M468" s="5">
        <v>382500</v>
      </c>
    </row>
    <row r="469" spans="1:13" x14ac:dyDescent="0.3">
      <c r="A469" s="5">
        <v>468</v>
      </c>
      <c r="B469" s="10">
        <v>46183</v>
      </c>
      <c r="C469" s="5">
        <v>105</v>
      </c>
      <c r="D469" s="4" t="s">
        <v>33</v>
      </c>
      <c r="E469" s="4" t="s">
        <v>34</v>
      </c>
      <c r="F469" s="5">
        <v>203</v>
      </c>
      <c r="G469" s="4" t="s">
        <v>20</v>
      </c>
      <c r="H469" s="4" t="s">
        <v>21</v>
      </c>
      <c r="I469" s="5">
        <v>3</v>
      </c>
      <c r="J469" s="5">
        <v>95000</v>
      </c>
      <c r="K469" s="5">
        <v>62000</v>
      </c>
      <c r="L469" s="5">
        <v>285000</v>
      </c>
      <c r="M469" s="5">
        <v>99000</v>
      </c>
    </row>
    <row r="470" spans="1:13" x14ac:dyDescent="0.3">
      <c r="A470" s="5">
        <v>469</v>
      </c>
      <c r="B470" s="10">
        <v>46183</v>
      </c>
      <c r="C470" s="5">
        <v>101</v>
      </c>
      <c r="D470" s="4" t="s">
        <v>13</v>
      </c>
      <c r="E470" s="4" t="s">
        <v>14</v>
      </c>
      <c r="F470" s="5">
        <v>205</v>
      </c>
      <c r="G470" s="4" t="s">
        <v>23</v>
      </c>
      <c r="H470" s="4" t="s">
        <v>16</v>
      </c>
      <c r="I470" s="5">
        <v>5</v>
      </c>
      <c r="J470" s="5">
        <v>202400</v>
      </c>
      <c r="K470" s="5">
        <v>145000</v>
      </c>
      <c r="L470" s="5">
        <v>1012000</v>
      </c>
      <c r="M470" s="5">
        <v>287000</v>
      </c>
    </row>
    <row r="471" spans="1:13" x14ac:dyDescent="0.3">
      <c r="A471" s="5">
        <v>470</v>
      </c>
      <c r="B471" s="10">
        <v>46183</v>
      </c>
      <c r="C471" s="5">
        <v>105</v>
      </c>
      <c r="D471" s="4" t="s">
        <v>33</v>
      </c>
      <c r="E471" s="4" t="s">
        <v>34</v>
      </c>
      <c r="F471" s="5">
        <v>201</v>
      </c>
      <c r="G471" s="4" t="s">
        <v>17</v>
      </c>
      <c r="H471" s="4" t="s">
        <v>18</v>
      </c>
      <c r="I471" s="5">
        <v>5</v>
      </c>
      <c r="J471" s="5">
        <v>824500</v>
      </c>
      <c r="K471" s="5">
        <v>680000</v>
      </c>
      <c r="L471" s="5">
        <v>4122500</v>
      </c>
      <c r="M471" s="5">
        <v>722500</v>
      </c>
    </row>
    <row r="472" spans="1:13" x14ac:dyDescent="0.3">
      <c r="A472" s="5">
        <v>471</v>
      </c>
      <c r="B472" s="10">
        <v>46183</v>
      </c>
      <c r="C472" s="5">
        <v>103</v>
      </c>
      <c r="D472" s="4" t="s">
        <v>32</v>
      </c>
      <c r="E472" s="4" t="s">
        <v>31</v>
      </c>
      <c r="F472" s="5">
        <v>206</v>
      </c>
      <c r="G472" s="4" t="s">
        <v>15</v>
      </c>
      <c r="H472" s="4" t="s">
        <v>16</v>
      </c>
      <c r="I472" s="5">
        <v>4</v>
      </c>
      <c r="J472" s="5">
        <v>332500</v>
      </c>
      <c r="K472" s="5">
        <v>235000</v>
      </c>
      <c r="L472" s="5">
        <v>1330000</v>
      </c>
      <c r="M472" s="5">
        <v>390000</v>
      </c>
    </row>
    <row r="473" spans="1:13" x14ac:dyDescent="0.3">
      <c r="A473" s="5">
        <v>472</v>
      </c>
      <c r="B473" s="10">
        <v>46184</v>
      </c>
      <c r="C473" s="5">
        <v>108</v>
      </c>
      <c r="D473" s="4" t="s">
        <v>30</v>
      </c>
      <c r="E473" s="4" t="s">
        <v>31</v>
      </c>
      <c r="F473" s="5">
        <v>203</v>
      </c>
      <c r="G473" s="4" t="s">
        <v>20</v>
      </c>
      <c r="H473" s="4" t="s">
        <v>21</v>
      </c>
      <c r="I473" s="5">
        <v>3</v>
      </c>
      <c r="J473" s="5">
        <v>87400</v>
      </c>
      <c r="K473" s="5">
        <v>62000</v>
      </c>
      <c r="L473" s="5">
        <v>262200</v>
      </c>
      <c r="M473" s="5">
        <v>76200</v>
      </c>
    </row>
    <row r="474" spans="1:13" x14ac:dyDescent="0.3">
      <c r="A474" s="5">
        <v>473</v>
      </c>
      <c r="B474" s="10">
        <v>46184</v>
      </c>
      <c r="C474" s="5">
        <v>106</v>
      </c>
      <c r="D474" s="4" t="s">
        <v>29</v>
      </c>
      <c r="E474" s="4" t="s">
        <v>28</v>
      </c>
      <c r="F474" s="5">
        <v>202</v>
      </c>
      <c r="G474" s="4" t="s">
        <v>19</v>
      </c>
      <c r="H474" s="4" t="s">
        <v>18</v>
      </c>
      <c r="I474" s="5">
        <v>2</v>
      </c>
      <c r="J474" s="5">
        <v>271600</v>
      </c>
      <c r="K474" s="5">
        <v>210000</v>
      </c>
      <c r="L474" s="5">
        <v>543200</v>
      </c>
      <c r="M474" s="5">
        <v>123200</v>
      </c>
    </row>
    <row r="475" spans="1:13" x14ac:dyDescent="0.3">
      <c r="A475" s="5">
        <v>474</v>
      </c>
      <c r="B475" s="10">
        <v>46185</v>
      </c>
      <c r="C475" s="5">
        <v>106</v>
      </c>
      <c r="D475" s="4" t="s">
        <v>29</v>
      </c>
      <c r="E475" s="4" t="s">
        <v>28</v>
      </c>
      <c r="F475" s="5">
        <v>203</v>
      </c>
      <c r="G475" s="4" t="s">
        <v>20</v>
      </c>
      <c r="H475" s="4" t="s">
        <v>21</v>
      </c>
      <c r="I475" s="5">
        <v>4</v>
      </c>
      <c r="J475" s="5">
        <v>90250</v>
      </c>
      <c r="K475" s="5">
        <v>62000</v>
      </c>
      <c r="L475" s="5">
        <v>361000</v>
      </c>
      <c r="M475" s="5">
        <v>113000</v>
      </c>
    </row>
    <row r="476" spans="1:13" x14ac:dyDescent="0.3">
      <c r="A476" s="5">
        <v>475</v>
      </c>
      <c r="B476" s="10">
        <v>46185</v>
      </c>
      <c r="C476" s="5">
        <v>104</v>
      </c>
      <c r="D476" s="4" t="s">
        <v>25</v>
      </c>
      <c r="E476" s="4" t="s">
        <v>14</v>
      </c>
      <c r="F476" s="5">
        <v>203</v>
      </c>
      <c r="G476" s="4" t="s">
        <v>20</v>
      </c>
      <c r="H476" s="4" t="s">
        <v>21</v>
      </c>
      <c r="I476" s="5">
        <v>5</v>
      </c>
      <c r="J476" s="5">
        <v>90250</v>
      </c>
      <c r="K476" s="5">
        <v>62000</v>
      </c>
      <c r="L476" s="5">
        <v>451250</v>
      </c>
      <c r="M476" s="5">
        <v>141250</v>
      </c>
    </row>
    <row r="477" spans="1:13" x14ac:dyDescent="0.3">
      <c r="A477" s="5">
        <v>476</v>
      </c>
      <c r="B477" s="10">
        <v>46185</v>
      </c>
      <c r="C477" s="5">
        <v>102</v>
      </c>
      <c r="D477" s="4" t="s">
        <v>27</v>
      </c>
      <c r="E477" s="4" t="s">
        <v>28</v>
      </c>
      <c r="F477" s="5">
        <v>205</v>
      </c>
      <c r="G477" s="4" t="s">
        <v>23</v>
      </c>
      <c r="H477" s="4" t="s">
        <v>16</v>
      </c>
      <c r="I477" s="5">
        <v>3</v>
      </c>
      <c r="J477" s="5">
        <v>209000</v>
      </c>
      <c r="K477" s="5">
        <v>145000</v>
      </c>
      <c r="L477" s="5">
        <v>627000</v>
      </c>
      <c r="M477" s="5">
        <v>192000</v>
      </c>
    </row>
    <row r="478" spans="1:13" x14ac:dyDescent="0.3">
      <c r="A478" s="5">
        <v>477</v>
      </c>
      <c r="B478" s="10">
        <v>46185</v>
      </c>
      <c r="C478" s="5">
        <v>106</v>
      </c>
      <c r="D478" s="4" t="s">
        <v>29</v>
      </c>
      <c r="E478" s="4" t="s">
        <v>28</v>
      </c>
      <c r="F478" s="5">
        <v>206</v>
      </c>
      <c r="G478" s="4" t="s">
        <v>15</v>
      </c>
      <c r="H478" s="4" t="s">
        <v>16</v>
      </c>
      <c r="I478" s="5">
        <v>2</v>
      </c>
      <c r="J478" s="5">
        <v>339500</v>
      </c>
      <c r="K478" s="5">
        <v>235000</v>
      </c>
      <c r="L478" s="5">
        <v>679000</v>
      </c>
      <c r="M478" s="5">
        <v>209000</v>
      </c>
    </row>
    <row r="479" spans="1:13" x14ac:dyDescent="0.3">
      <c r="A479" s="5">
        <v>478</v>
      </c>
      <c r="B479" s="10">
        <v>46186</v>
      </c>
      <c r="C479" s="5">
        <v>106</v>
      </c>
      <c r="D479" s="4" t="s">
        <v>29</v>
      </c>
      <c r="E479" s="4" t="s">
        <v>28</v>
      </c>
      <c r="F479" s="5">
        <v>203</v>
      </c>
      <c r="G479" s="4" t="s">
        <v>20</v>
      </c>
      <c r="H479" s="4" t="s">
        <v>21</v>
      </c>
      <c r="I479" s="5">
        <v>2</v>
      </c>
      <c r="J479" s="5">
        <v>90250</v>
      </c>
      <c r="K479" s="5">
        <v>62000</v>
      </c>
      <c r="L479" s="5">
        <v>180500</v>
      </c>
      <c r="M479" s="5">
        <v>56500</v>
      </c>
    </row>
    <row r="480" spans="1:13" x14ac:dyDescent="0.3">
      <c r="A480" s="5">
        <v>479</v>
      </c>
      <c r="B480" s="10">
        <v>46186</v>
      </c>
      <c r="C480" s="5">
        <v>104</v>
      </c>
      <c r="D480" s="4" t="s">
        <v>25</v>
      </c>
      <c r="E480" s="4" t="s">
        <v>14</v>
      </c>
      <c r="F480" s="5">
        <v>203</v>
      </c>
      <c r="G480" s="4" t="s">
        <v>20</v>
      </c>
      <c r="H480" s="4" t="s">
        <v>21</v>
      </c>
      <c r="I480" s="5">
        <v>3</v>
      </c>
      <c r="J480" s="5">
        <v>92150</v>
      </c>
      <c r="K480" s="5">
        <v>62000</v>
      </c>
      <c r="L480" s="5">
        <v>276450</v>
      </c>
      <c r="M480" s="5">
        <v>90450</v>
      </c>
    </row>
    <row r="481" spans="1:13" x14ac:dyDescent="0.3">
      <c r="A481" s="5">
        <v>480</v>
      </c>
      <c r="B481" s="10">
        <v>46187</v>
      </c>
      <c r="C481" s="5">
        <v>107</v>
      </c>
      <c r="D481" s="4" t="s">
        <v>24</v>
      </c>
      <c r="E481" s="4" t="s">
        <v>14</v>
      </c>
      <c r="F481" s="5">
        <v>201</v>
      </c>
      <c r="G481" s="4" t="s">
        <v>17</v>
      </c>
      <c r="H481" s="4" t="s">
        <v>18</v>
      </c>
      <c r="I481" s="5">
        <v>2</v>
      </c>
      <c r="J481" s="5">
        <v>807500</v>
      </c>
      <c r="K481" s="5">
        <v>680000</v>
      </c>
      <c r="L481" s="5">
        <v>1615000</v>
      </c>
      <c r="M481" s="5">
        <v>255000</v>
      </c>
    </row>
    <row r="482" spans="1:13" x14ac:dyDescent="0.3">
      <c r="A482" s="5">
        <v>481</v>
      </c>
      <c r="B482" s="10">
        <v>46187</v>
      </c>
      <c r="C482" s="5">
        <v>102</v>
      </c>
      <c r="D482" s="4" t="s">
        <v>27</v>
      </c>
      <c r="E482" s="4" t="s">
        <v>28</v>
      </c>
      <c r="F482" s="5">
        <v>204</v>
      </c>
      <c r="G482" s="4" t="s">
        <v>22</v>
      </c>
      <c r="H482" s="4" t="s">
        <v>21</v>
      </c>
      <c r="I482" s="5">
        <v>4</v>
      </c>
      <c r="J482" s="5">
        <v>52250</v>
      </c>
      <c r="K482" s="5">
        <v>33000</v>
      </c>
      <c r="L482" s="5">
        <v>209000</v>
      </c>
      <c r="M482" s="5">
        <v>77000</v>
      </c>
    </row>
    <row r="483" spans="1:13" x14ac:dyDescent="0.3">
      <c r="A483" s="5">
        <v>482</v>
      </c>
      <c r="B483" s="10">
        <v>46188</v>
      </c>
      <c r="C483" s="5">
        <v>101</v>
      </c>
      <c r="D483" s="4" t="s">
        <v>13</v>
      </c>
      <c r="E483" s="4" t="s">
        <v>14</v>
      </c>
      <c r="F483" s="5">
        <v>206</v>
      </c>
      <c r="G483" s="4" t="s">
        <v>15</v>
      </c>
      <c r="H483" s="4" t="s">
        <v>16</v>
      </c>
      <c r="I483" s="5">
        <v>2</v>
      </c>
      <c r="J483" s="5">
        <v>322000</v>
      </c>
      <c r="K483" s="5">
        <v>235000</v>
      </c>
      <c r="L483" s="5">
        <v>644000</v>
      </c>
      <c r="M483" s="5">
        <v>174000</v>
      </c>
    </row>
    <row r="484" spans="1:13" x14ac:dyDescent="0.3">
      <c r="A484" s="5">
        <v>483</v>
      </c>
      <c r="B484" s="10">
        <v>46188</v>
      </c>
      <c r="C484" s="5">
        <v>102</v>
      </c>
      <c r="D484" s="4" t="s">
        <v>27</v>
      </c>
      <c r="E484" s="4" t="s">
        <v>28</v>
      </c>
      <c r="F484" s="5">
        <v>201</v>
      </c>
      <c r="G484" s="4" t="s">
        <v>17</v>
      </c>
      <c r="H484" s="4" t="s">
        <v>18</v>
      </c>
      <c r="I484" s="5">
        <v>4</v>
      </c>
      <c r="J484" s="5">
        <v>782000</v>
      </c>
      <c r="K484" s="5">
        <v>680000</v>
      </c>
      <c r="L484" s="5">
        <v>3128000</v>
      </c>
      <c r="M484" s="5">
        <v>408000</v>
      </c>
    </row>
    <row r="485" spans="1:13" x14ac:dyDescent="0.3">
      <c r="A485" s="5">
        <v>484</v>
      </c>
      <c r="B485" s="10">
        <v>46189</v>
      </c>
      <c r="C485" s="5">
        <v>107</v>
      </c>
      <c r="D485" s="4" t="s">
        <v>24</v>
      </c>
      <c r="E485" s="4" t="s">
        <v>14</v>
      </c>
      <c r="F485" s="5">
        <v>202</v>
      </c>
      <c r="G485" s="4" t="s">
        <v>19</v>
      </c>
      <c r="H485" s="4" t="s">
        <v>18</v>
      </c>
      <c r="I485" s="5">
        <v>5</v>
      </c>
      <c r="J485" s="5">
        <v>266000</v>
      </c>
      <c r="K485" s="5">
        <v>210000</v>
      </c>
      <c r="L485" s="5">
        <v>1330000</v>
      </c>
      <c r="M485" s="5">
        <v>280000</v>
      </c>
    </row>
    <row r="486" spans="1:13" x14ac:dyDescent="0.3">
      <c r="A486" s="5">
        <v>485</v>
      </c>
      <c r="B486" s="10">
        <v>46189</v>
      </c>
      <c r="C486" s="5">
        <v>102</v>
      </c>
      <c r="D486" s="4" t="s">
        <v>27</v>
      </c>
      <c r="E486" s="4" t="s">
        <v>28</v>
      </c>
      <c r="F486" s="5">
        <v>201</v>
      </c>
      <c r="G486" s="4" t="s">
        <v>17</v>
      </c>
      <c r="H486" s="4" t="s">
        <v>18</v>
      </c>
      <c r="I486" s="5">
        <v>5</v>
      </c>
      <c r="J486" s="5">
        <v>824500</v>
      </c>
      <c r="K486" s="5">
        <v>680000</v>
      </c>
      <c r="L486" s="5">
        <v>4122500</v>
      </c>
      <c r="M486" s="5">
        <v>722500</v>
      </c>
    </row>
    <row r="487" spans="1:13" x14ac:dyDescent="0.3">
      <c r="A487" s="5">
        <v>486</v>
      </c>
      <c r="B487" s="10">
        <v>46189</v>
      </c>
      <c r="C487" s="5">
        <v>107</v>
      </c>
      <c r="D487" s="4" t="s">
        <v>24</v>
      </c>
      <c r="E487" s="4" t="s">
        <v>14</v>
      </c>
      <c r="F487" s="5">
        <v>201</v>
      </c>
      <c r="G487" s="4" t="s">
        <v>17</v>
      </c>
      <c r="H487" s="4" t="s">
        <v>18</v>
      </c>
      <c r="I487" s="5">
        <v>2</v>
      </c>
      <c r="J487" s="5">
        <v>824500</v>
      </c>
      <c r="K487" s="5">
        <v>680000</v>
      </c>
      <c r="L487" s="5">
        <v>1649000</v>
      </c>
      <c r="M487" s="5">
        <v>289000</v>
      </c>
    </row>
    <row r="488" spans="1:13" x14ac:dyDescent="0.3">
      <c r="A488" s="5">
        <v>487</v>
      </c>
      <c r="B488" s="10">
        <v>46189</v>
      </c>
      <c r="C488" s="5">
        <v>103</v>
      </c>
      <c r="D488" s="4" t="s">
        <v>32</v>
      </c>
      <c r="E488" s="4" t="s">
        <v>31</v>
      </c>
      <c r="F488" s="5">
        <v>205</v>
      </c>
      <c r="G488" s="4" t="s">
        <v>23</v>
      </c>
      <c r="H488" s="4" t="s">
        <v>16</v>
      </c>
      <c r="I488" s="5">
        <v>5</v>
      </c>
      <c r="J488" s="5">
        <v>202400</v>
      </c>
      <c r="K488" s="5">
        <v>145000</v>
      </c>
      <c r="L488" s="5">
        <v>1012000</v>
      </c>
      <c r="M488" s="5">
        <v>287000</v>
      </c>
    </row>
    <row r="489" spans="1:13" x14ac:dyDescent="0.3">
      <c r="A489" s="5">
        <v>488</v>
      </c>
      <c r="B489" s="10">
        <v>46190</v>
      </c>
      <c r="C489" s="5">
        <v>102</v>
      </c>
      <c r="D489" s="4" t="s">
        <v>27</v>
      </c>
      <c r="E489" s="4" t="s">
        <v>28</v>
      </c>
      <c r="F489" s="5">
        <v>206</v>
      </c>
      <c r="G489" s="4" t="s">
        <v>15</v>
      </c>
      <c r="H489" s="4" t="s">
        <v>16</v>
      </c>
      <c r="I489" s="5">
        <v>3</v>
      </c>
      <c r="J489" s="5">
        <v>332500</v>
      </c>
      <c r="K489" s="5">
        <v>235000</v>
      </c>
      <c r="L489" s="5">
        <v>997500</v>
      </c>
      <c r="M489" s="5">
        <v>292500</v>
      </c>
    </row>
    <row r="490" spans="1:13" x14ac:dyDescent="0.3">
      <c r="A490" s="5">
        <v>489</v>
      </c>
      <c r="B490" s="10">
        <v>46190</v>
      </c>
      <c r="C490" s="5">
        <v>106</v>
      </c>
      <c r="D490" s="4" t="s">
        <v>29</v>
      </c>
      <c r="E490" s="4" t="s">
        <v>28</v>
      </c>
      <c r="F490" s="5">
        <v>205</v>
      </c>
      <c r="G490" s="4" t="s">
        <v>23</v>
      </c>
      <c r="H490" s="4" t="s">
        <v>16</v>
      </c>
      <c r="I490" s="5">
        <v>5</v>
      </c>
      <c r="J490" s="5">
        <v>209000</v>
      </c>
      <c r="K490" s="5">
        <v>145000</v>
      </c>
      <c r="L490" s="5">
        <v>1045000</v>
      </c>
      <c r="M490" s="5">
        <v>320000</v>
      </c>
    </row>
    <row r="491" spans="1:13" x14ac:dyDescent="0.3">
      <c r="A491" s="5">
        <v>490</v>
      </c>
      <c r="B491" s="10">
        <v>46190</v>
      </c>
      <c r="C491" s="5">
        <v>105</v>
      </c>
      <c r="D491" s="4" t="s">
        <v>33</v>
      </c>
      <c r="E491" s="4" t="s">
        <v>34</v>
      </c>
      <c r="F491" s="5">
        <v>205</v>
      </c>
      <c r="G491" s="4" t="s">
        <v>23</v>
      </c>
      <c r="H491" s="4" t="s">
        <v>16</v>
      </c>
      <c r="I491" s="5">
        <v>2</v>
      </c>
      <c r="J491" s="5">
        <v>213400</v>
      </c>
      <c r="K491" s="5">
        <v>145000</v>
      </c>
      <c r="L491" s="5">
        <v>426800</v>
      </c>
      <c r="M491" s="5">
        <v>136800</v>
      </c>
    </row>
    <row r="492" spans="1:13" x14ac:dyDescent="0.3">
      <c r="A492" s="5">
        <v>491</v>
      </c>
      <c r="B492" s="10">
        <v>46190</v>
      </c>
      <c r="C492" s="5">
        <v>106</v>
      </c>
      <c r="D492" s="4" t="s">
        <v>29</v>
      </c>
      <c r="E492" s="4" t="s">
        <v>28</v>
      </c>
      <c r="F492" s="5">
        <v>201</v>
      </c>
      <c r="G492" s="4" t="s">
        <v>17</v>
      </c>
      <c r="H492" s="4" t="s">
        <v>18</v>
      </c>
      <c r="I492" s="5">
        <v>2</v>
      </c>
      <c r="J492" s="5">
        <v>807500</v>
      </c>
      <c r="K492" s="5">
        <v>680000</v>
      </c>
      <c r="L492" s="5">
        <v>1615000</v>
      </c>
      <c r="M492" s="5">
        <v>255000</v>
      </c>
    </row>
    <row r="493" spans="1:13" x14ac:dyDescent="0.3">
      <c r="A493" s="5">
        <v>492</v>
      </c>
      <c r="B493" s="10">
        <v>46191</v>
      </c>
      <c r="C493" s="5">
        <v>105</v>
      </c>
      <c r="D493" s="4" t="s">
        <v>33</v>
      </c>
      <c r="E493" s="4" t="s">
        <v>34</v>
      </c>
      <c r="F493" s="5">
        <v>203</v>
      </c>
      <c r="G493" s="4" t="s">
        <v>20</v>
      </c>
      <c r="H493" s="4" t="s">
        <v>21</v>
      </c>
      <c r="I493" s="5">
        <v>3</v>
      </c>
      <c r="J493" s="5">
        <v>90250</v>
      </c>
      <c r="K493" s="5">
        <v>62000</v>
      </c>
      <c r="L493" s="5">
        <v>270750</v>
      </c>
      <c r="M493" s="5">
        <v>84750</v>
      </c>
    </row>
    <row r="494" spans="1:13" x14ac:dyDescent="0.3">
      <c r="A494" s="5">
        <v>493</v>
      </c>
      <c r="B494" s="10">
        <v>46191</v>
      </c>
      <c r="C494" s="5">
        <v>105</v>
      </c>
      <c r="D494" s="4" t="s">
        <v>33</v>
      </c>
      <c r="E494" s="4" t="s">
        <v>34</v>
      </c>
      <c r="F494" s="5">
        <v>201</v>
      </c>
      <c r="G494" s="4" t="s">
        <v>17</v>
      </c>
      <c r="H494" s="4" t="s">
        <v>18</v>
      </c>
      <c r="I494" s="5">
        <v>3</v>
      </c>
      <c r="J494" s="5">
        <v>824500</v>
      </c>
      <c r="K494" s="5">
        <v>680000</v>
      </c>
      <c r="L494" s="5">
        <v>2473500</v>
      </c>
      <c r="M494" s="5">
        <v>433500</v>
      </c>
    </row>
    <row r="495" spans="1:13" x14ac:dyDescent="0.3">
      <c r="A495" s="5">
        <v>494</v>
      </c>
      <c r="B495" s="10">
        <v>46191</v>
      </c>
      <c r="C495" s="5">
        <v>106</v>
      </c>
      <c r="D495" s="4" t="s">
        <v>29</v>
      </c>
      <c r="E495" s="4" t="s">
        <v>28</v>
      </c>
      <c r="F495" s="5">
        <v>206</v>
      </c>
      <c r="G495" s="4" t="s">
        <v>15</v>
      </c>
      <c r="H495" s="4" t="s">
        <v>16</v>
      </c>
      <c r="I495" s="5">
        <v>5</v>
      </c>
      <c r="J495" s="5">
        <v>332500</v>
      </c>
      <c r="K495" s="5">
        <v>235000</v>
      </c>
      <c r="L495" s="5">
        <v>1662500</v>
      </c>
      <c r="M495" s="5">
        <v>487500</v>
      </c>
    </row>
    <row r="496" spans="1:13" x14ac:dyDescent="0.3">
      <c r="A496" s="5">
        <v>495</v>
      </c>
      <c r="B496" s="10">
        <v>46191</v>
      </c>
      <c r="C496" s="5">
        <v>103</v>
      </c>
      <c r="D496" s="4" t="s">
        <v>32</v>
      </c>
      <c r="E496" s="4" t="s">
        <v>31</v>
      </c>
      <c r="F496" s="5">
        <v>203</v>
      </c>
      <c r="G496" s="4" t="s">
        <v>20</v>
      </c>
      <c r="H496" s="4" t="s">
        <v>21</v>
      </c>
      <c r="I496" s="5">
        <v>1</v>
      </c>
      <c r="J496" s="5">
        <v>87400</v>
      </c>
      <c r="K496" s="5">
        <v>62000</v>
      </c>
      <c r="L496" s="5">
        <v>87400</v>
      </c>
      <c r="M496" s="5">
        <v>25400</v>
      </c>
    </row>
    <row r="497" spans="1:13" x14ac:dyDescent="0.3">
      <c r="A497" s="5">
        <v>496</v>
      </c>
      <c r="B497" s="10">
        <v>46192</v>
      </c>
      <c r="C497" s="5">
        <v>107</v>
      </c>
      <c r="D497" s="4" t="s">
        <v>24</v>
      </c>
      <c r="E497" s="4" t="s">
        <v>14</v>
      </c>
      <c r="F497" s="5">
        <v>202</v>
      </c>
      <c r="G497" s="4" t="s">
        <v>19</v>
      </c>
      <c r="H497" s="4" t="s">
        <v>18</v>
      </c>
      <c r="I497" s="5">
        <v>2</v>
      </c>
      <c r="J497" s="5">
        <v>257600</v>
      </c>
      <c r="K497" s="5">
        <v>210000</v>
      </c>
      <c r="L497" s="5">
        <v>515200</v>
      </c>
      <c r="M497" s="5">
        <v>95200</v>
      </c>
    </row>
    <row r="498" spans="1:13" x14ac:dyDescent="0.3">
      <c r="A498" s="5">
        <v>497</v>
      </c>
      <c r="B498" s="10">
        <v>46192</v>
      </c>
      <c r="C498" s="5">
        <v>105</v>
      </c>
      <c r="D498" s="4" t="s">
        <v>33</v>
      </c>
      <c r="E498" s="4" t="s">
        <v>34</v>
      </c>
      <c r="F498" s="5">
        <v>205</v>
      </c>
      <c r="G498" s="4" t="s">
        <v>23</v>
      </c>
      <c r="H498" s="4" t="s">
        <v>16</v>
      </c>
      <c r="I498" s="5">
        <v>3</v>
      </c>
      <c r="J498" s="5">
        <v>213400</v>
      </c>
      <c r="K498" s="5">
        <v>145000</v>
      </c>
      <c r="L498" s="5">
        <v>640200</v>
      </c>
      <c r="M498" s="5">
        <v>205200</v>
      </c>
    </row>
    <row r="499" spans="1:13" x14ac:dyDescent="0.3">
      <c r="A499" s="5">
        <v>498</v>
      </c>
      <c r="B499" s="10">
        <v>46192</v>
      </c>
      <c r="C499" s="5">
        <v>106</v>
      </c>
      <c r="D499" s="4" t="s">
        <v>29</v>
      </c>
      <c r="E499" s="4" t="s">
        <v>28</v>
      </c>
      <c r="F499" s="5">
        <v>205</v>
      </c>
      <c r="G499" s="4" t="s">
        <v>23</v>
      </c>
      <c r="H499" s="4" t="s">
        <v>16</v>
      </c>
      <c r="I499" s="5">
        <v>2</v>
      </c>
      <c r="J499" s="5">
        <v>202400</v>
      </c>
      <c r="K499" s="5">
        <v>145000</v>
      </c>
      <c r="L499" s="5">
        <v>404800</v>
      </c>
      <c r="M499" s="5">
        <v>114800</v>
      </c>
    </row>
    <row r="500" spans="1:13" x14ac:dyDescent="0.3">
      <c r="A500" s="5">
        <v>499</v>
      </c>
      <c r="B500" s="10">
        <v>46192</v>
      </c>
      <c r="C500" s="5">
        <v>102</v>
      </c>
      <c r="D500" s="4" t="s">
        <v>27</v>
      </c>
      <c r="E500" s="4" t="s">
        <v>28</v>
      </c>
      <c r="F500" s="5">
        <v>203</v>
      </c>
      <c r="G500" s="4" t="s">
        <v>20</v>
      </c>
      <c r="H500" s="4" t="s">
        <v>21</v>
      </c>
      <c r="I500" s="5">
        <v>5</v>
      </c>
      <c r="J500" s="5">
        <v>87400</v>
      </c>
      <c r="K500" s="5">
        <v>62000</v>
      </c>
      <c r="L500" s="5">
        <v>437000</v>
      </c>
      <c r="M500" s="5">
        <v>127000</v>
      </c>
    </row>
    <row r="501" spans="1:13" x14ac:dyDescent="0.3">
      <c r="A501" s="5">
        <v>500</v>
      </c>
      <c r="B501" s="10">
        <v>46193</v>
      </c>
      <c r="C501" s="5">
        <v>103</v>
      </c>
      <c r="D501" s="4" t="s">
        <v>32</v>
      </c>
      <c r="E501" s="4" t="s">
        <v>31</v>
      </c>
      <c r="F501" s="5">
        <v>206</v>
      </c>
      <c r="G501" s="4" t="s">
        <v>15</v>
      </c>
      <c r="H501" s="4" t="s">
        <v>16</v>
      </c>
      <c r="I501" s="5">
        <v>5</v>
      </c>
      <c r="J501" s="5">
        <v>322000</v>
      </c>
      <c r="K501" s="5">
        <v>235000</v>
      </c>
      <c r="L501" s="5">
        <v>1610000</v>
      </c>
      <c r="M501" s="5">
        <v>435000</v>
      </c>
    </row>
    <row r="502" spans="1:13" x14ac:dyDescent="0.3">
      <c r="A502" s="5">
        <v>501</v>
      </c>
      <c r="B502" s="10">
        <v>46193</v>
      </c>
      <c r="C502" s="5">
        <v>101</v>
      </c>
      <c r="D502" s="4" t="s">
        <v>13</v>
      </c>
      <c r="E502" s="4" t="s">
        <v>14</v>
      </c>
      <c r="F502" s="5">
        <v>205</v>
      </c>
      <c r="G502" s="4" t="s">
        <v>23</v>
      </c>
      <c r="H502" s="4" t="s">
        <v>16</v>
      </c>
      <c r="I502" s="5">
        <v>5</v>
      </c>
      <c r="J502" s="5">
        <v>202400</v>
      </c>
      <c r="K502" s="5">
        <v>145000</v>
      </c>
      <c r="L502" s="5">
        <v>1012000</v>
      </c>
      <c r="M502" s="5">
        <v>287000</v>
      </c>
    </row>
    <row r="503" spans="1:13" x14ac:dyDescent="0.3">
      <c r="A503" s="5">
        <v>502</v>
      </c>
      <c r="B503" s="10">
        <v>46193</v>
      </c>
      <c r="C503" s="5">
        <v>102</v>
      </c>
      <c r="D503" s="4" t="s">
        <v>27</v>
      </c>
      <c r="E503" s="4" t="s">
        <v>28</v>
      </c>
      <c r="F503" s="5">
        <v>205</v>
      </c>
      <c r="G503" s="4" t="s">
        <v>23</v>
      </c>
      <c r="H503" s="4" t="s">
        <v>16</v>
      </c>
      <c r="I503" s="5">
        <v>1</v>
      </c>
      <c r="J503" s="5">
        <v>213400</v>
      </c>
      <c r="K503" s="5">
        <v>145000</v>
      </c>
      <c r="L503" s="5">
        <v>213400</v>
      </c>
      <c r="M503" s="5">
        <v>68400</v>
      </c>
    </row>
    <row r="504" spans="1:13" x14ac:dyDescent="0.3">
      <c r="A504" s="5">
        <v>503</v>
      </c>
      <c r="B504" s="10">
        <v>46193</v>
      </c>
      <c r="C504" s="5">
        <v>106</v>
      </c>
      <c r="D504" s="4" t="s">
        <v>29</v>
      </c>
      <c r="E504" s="4" t="s">
        <v>28</v>
      </c>
      <c r="F504" s="5">
        <v>203</v>
      </c>
      <c r="G504" s="4" t="s">
        <v>20</v>
      </c>
      <c r="H504" s="4" t="s">
        <v>21</v>
      </c>
      <c r="I504" s="5">
        <v>4</v>
      </c>
      <c r="J504" s="5">
        <v>95000</v>
      </c>
      <c r="K504" s="5">
        <v>62000</v>
      </c>
      <c r="L504" s="5">
        <v>380000</v>
      </c>
      <c r="M504" s="5">
        <v>132000</v>
      </c>
    </row>
    <row r="505" spans="1:13" x14ac:dyDescent="0.3">
      <c r="A505" s="5">
        <v>504</v>
      </c>
      <c r="B505" s="10">
        <v>46194</v>
      </c>
      <c r="C505" s="5">
        <v>106</v>
      </c>
      <c r="D505" s="4" t="s">
        <v>29</v>
      </c>
      <c r="E505" s="4" t="s">
        <v>28</v>
      </c>
      <c r="F505" s="5">
        <v>204</v>
      </c>
      <c r="G505" s="4" t="s">
        <v>22</v>
      </c>
      <c r="H505" s="4" t="s">
        <v>21</v>
      </c>
      <c r="I505" s="5">
        <v>2</v>
      </c>
      <c r="J505" s="5">
        <v>53350</v>
      </c>
      <c r="K505" s="5">
        <v>33000</v>
      </c>
      <c r="L505" s="5">
        <v>106700</v>
      </c>
      <c r="M505" s="5">
        <v>40700</v>
      </c>
    </row>
    <row r="506" spans="1:13" x14ac:dyDescent="0.3">
      <c r="A506" s="5">
        <v>505</v>
      </c>
      <c r="B506" s="10">
        <v>46194</v>
      </c>
      <c r="C506" s="5">
        <v>103</v>
      </c>
      <c r="D506" s="4" t="s">
        <v>32</v>
      </c>
      <c r="E506" s="4" t="s">
        <v>31</v>
      </c>
      <c r="F506" s="5">
        <v>203</v>
      </c>
      <c r="G506" s="4" t="s">
        <v>20</v>
      </c>
      <c r="H506" s="4" t="s">
        <v>21</v>
      </c>
      <c r="I506" s="5">
        <v>3</v>
      </c>
      <c r="J506" s="5">
        <v>92150</v>
      </c>
      <c r="K506" s="5">
        <v>62000</v>
      </c>
      <c r="L506" s="5">
        <v>276450</v>
      </c>
      <c r="M506" s="5">
        <v>90450</v>
      </c>
    </row>
    <row r="507" spans="1:13" x14ac:dyDescent="0.3">
      <c r="A507" s="5">
        <v>506</v>
      </c>
      <c r="B507" s="10">
        <v>46194</v>
      </c>
      <c r="C507" s="5">
        <v>104</v>
      </c>
      <c r="D507" s="4" t="s">
        <v>25</v>
      </c>
      <c r="E507" s="4" t="s">
        <v>14</v>
      </c>
      <c r="F507" s="5">
        <v>202</v>
      </c>
      <c r="G507" s="4" t="s">
        <v>19</v>
      </c>
      <c r="H507" s="4" t="s">
        <v>18</v>
      </c>
      <c r="I507" s="5">
        <v>2</v>
      </c>
      <c r="J507" s="5">
        <v>266000</v>
      </c>
      <c r="K507" s="5">
        <v>210000</v>
      </c>
      <c r="L507" s="5">
        <v>532000</v>
      </c>
      <c r="M507" s="5">
        <v>112000</v>
      </c>
    </row>
    <row r="508" spans="1:13" x14ac:dyDescent="0.3">
      <c r="A508" s="5">
        <v>507</v>
      </c>
      <c r="B508" s="10">
        <v>46195</v>
      </c>
      <c r="C508" s="5">
        <v>103</v>
      </c>
      <c r="D508" s="4" t="s">
        <v>32</v>
      </c>
      <c r="E508" s="4" t="s">
        <v>31</v>
      </c>
      <c r="F508" s="5">
        <v>206</v>
      </c>
      <c r="G508" s="4" t="s">
        <v>15</v>
      </c>
      <c r="H508" s="4" t="s">
        <v>16</v>
      </c>
      <c r="I508" s="5">
        <v>3</v>
      </c>
      <c r="J508" s="5">
        <v>350000</v>
      </c>
      <c r="K508" s="5">
        <v>235000</v>
      </c>
      <c r="L508" s="5">
        <v>1050000</v>
      </c>
      <c r="M508" s="5">
        <v>345000</v>
      </c>
    </row>
    <row r="509" spans="1:13" x14ac:dyDescent="0.3">
      <c r="A509" s="5">
        <v>508</v>
      </c>
      <c r="B509" s="10">
        <v>46195</v>
      </c>
      <c r="C509" s="5">
        <v>103</v>
      </c>
      <c r="D509" s="4" t="s">
        <v>32</v>
      </c>
      <c r="E509" s="4" t="s">
        <v>31</v>
      </c>
      <c r="F509" s="5">
        <v>201</v>
      </c>
      <c r="G509" s="4" t="s">
        <v>17</v>
      </c>
      <c r="H509" s="4" t="s">
        <v>18</v>
      </c>
      <c r="I509" s="5">
        <v>1</v>
      </c>
      <c r="J509" s="5">
        <v>824500</v>
      </c>
      <c r="K509" s="5">
        <v>680000</v>
      </c>
      <c r="L509" s="5">
        <v>824500</v>
      </c>
      <c r="M509" s="5">
        <v>144500</v>
      </c>
    </row>
    <row r="510" spans="1:13" x14ac:dyDescent="0.3">
      <c r="A510" s="5">
        <v>509</v>
      </c>
      <c r="B510" s="10">
        <v>46195</v>
      </c>
      <c r="C510" s="5">
        <v>104</v>
      </c>
      <c r="D510" s="4" t="s">
        <v>25</v>
      </c>
      <c r="E510" s="4" t="s">
        <v>14</v>
      </c>
      <c r="F510" s="5">
        <v>205</v>
      </c>
      <c r="G510" s="4" t="s">
        <v>23</v>
      </c>
      <c r="H510" s="4" t="s">
        <v>16</v>
      </c>
      <c r="I510" s="5">
        <v>1</v>
      </c>
      <c r="J510" s="5">
        <v>202400</v>
      </c>
      <c r="K510" s="5">
        <v>145000</v>
      </c>
      <c r="L510" s="5">
        <v>202400</v>
      </c>
      <c r="M510" s="5">
        <v>57400</v>
      </c>
    </row>
    <row r="511" spans="1:13" x14ac:dyDescent="0.3">
      <c r="A511" s="5">
        <v>510</v>
      </c>
      <c r="B511" s="10">
        <v>46195</v>
      </c>
      <c r="C511" s="5">
        <v>102</v>
      </c>
      <c r="D511" s="4" t="s">
        <v>27</v>
      </c>
      <c r="E511" s="4" t="s">
        <v>28</v>
      </c>
      <c r="F511" s="5">
        <v>201</v>
      </c>
      <c r="G511" s="4" t="s">
        <v>17</v>
      </c>
      <c r="H511" s="4" t="s">
        <v>18</v>
      </c>
      <c r="I511" s="5">
        <v>4</v>
      </c>
      <c r="J511" s="5">
        <v>782000</v>
      </c>
      <c r="K511" s="5">
        <v>680000</v>
      </c>
      <c r="L511" s="5">
        <v>3128000</v>
      </c>
      <c r="M511" s="5">
        <v>408000</v>
      </c>
    </row>
    <row r="512" spans="1:13" x14ac:dyDescent="0.3">
      <c r="A512" s="5">
        <v>511</v>
      </c>
      <c r="B512" s="10">
        <v>46196</v>
      </c>
      <c r="C512" s="5">
        <v>101</v>
      </c>
      <c r="D512" s="4" t="s">
        <v>13</v>
      </c>
      <c r="E512" s="4" t="s">
        <v>14</v>
      </c>
      <c r="F512" s="5">
        <v>201</v>
      </c>
      <c r="G512" s="4" t="s">
        <v>17</v>
      </c>
      <c r="H512" s="4" t="s">
        <v>18</v>
      </c>
      <c r="I512" s="5">
        <v>2</v>
      </c>
      <c r="J512" s="5">
        <v>824500</v>
      </c>
      <c r="K512" s="5">
        <v>680000</v>
      </c>
      <c r="L512" s="5">
        <v>1649000</v>
      </c>
      <c r="M512" s="5">
        <v>289000</v>
      </c>
    </row>
    <row r="513" spans="1:13" x14ac:dyDescent="0.3">
      <c r="A513" s="5">
        <v>512</v>
      </c>
      <c r="B513" s="10">
        <v>46196</v>
      </c>
      <c r="C513" s="5">
        <v>108</v>
      </c>
      <c r="D513" s="4" t="s">
        <v>30</v>
      </c>
      <c r="E513" s="4" t="s">
        <v>31</v>
      </c>
      <c r="F513" s="5">
        <v>202</v>
      </c>
      <c r="G513" s="4" t="s">
        <v>19</v>
      </c>
      <c r="H513" s="4" t="s">
        <v>18</v>
      </c>
      <c r="I513" s="5">
        <v>1</v>
      </c>
      <c r="J513" s="5">
        <v>257600</v>
      </c>
      <c r="K513" s="5">
        <v>210000</v>
      </c>
      <c r="L513" s="5">
        <v>257600</v>
      </c>
      <c r="M513" s="5">
        <v>47600</v>
      </c>
    </row>
    <row r="514" spans="1:13" x14ac:dyDescent="0.3">
      <c r="A514" s="5">
        <v>513</v>
      </c>
      <c r="B514" s="10">
        <v>46196</v>
      </c>
      <c r="C514" s="5">
        <v>102</v>
      </c>
      <c r="D514" s="4" t="s">
        <v>27</v>
      </c>
      <c r="E514" s="4" t="s">
        <v>28</v>
      </c>
      <c r="F514" s="5">
        <v>201</v>
      </c>
      <c r="G514" s="4" t="s">
        <v>17</v>
      </c>
      <c r="H514" s="4" t="s">
        <v>18</v>
      </c>
      <c r="I514" s="5">
        <v>3</v>
      </c>
      <c r="J514" s="5">
        <v>824500</v>
      </c>
      <c r="K514" s="5">
        <v>680000</v>
      </c>
      <c r="L514" s="5">
        <v>2473500</v>
      </c>
      <c r="M514" s="5">
        <v>433500</v>
      </c>
    </row>
    <row r="515" spans="1:13" x14ac:dyDescent="0.3">
      <c r="A515" s="5">
        <v>514</v>
      </c>
      <c r="B515" s="10">
        <v>46197</v>
      </c>
      <c r="C515" s="5">
        <v>108</v>
      </c>
      <c r="D515" s="4" t="s">
        <v>30</v>
      </c>
      <c r="E515" s="4" t="s">
        <v>31</v>
      </c>
      <c r="F515" s="5">
        <v>206</v>
      </c>
      <c r="G515" s="4" t="s">
        <v>15</v>
      </c>
      <c r="H515" s="4" t="s">
        <v>16</v>
      </c>
      <c r="I515" s="5">
        <v>2</v>
      </c>
      <c r="J515" s="5">
        <v>322000</v>
      </c>
      <c r="K515" s="5">
        <v>235000</v>
      </c>
      <c r="L515" s="5">
        <v>644000</v>
      </c>
      <c r="M515" s="5">
        <v>174000</v>
      </c>
    </row>
    <row r="516" spans="1:13" x14ac:dyDescent="0.3">
      <c r="A516" s="5">
        <v>515</v>
      </c>
      <c r="B516" s="10">
        <v>46197</v>
      </c>
      <c r="C516" s="5">
        <v>106</v>
      </c>
      <c r="D516" s="4" t="s">
        <v>29</v>
      </c>
      <c r="E516" s="4" t="s">
        <v>28</v>
      </c>
      <c r="F516" s="5">
        <v>201</v>
      </c>
      <c r="G516" s="4" t="s">
        <v>17</v>
      </c>
      <c r="H516" s="4" t="s">
        <v>18</v>
      </c>
      <c r="I516" s="5">
        <v>5</v>
      </c>
      <c r="J516" s="5">
        <v>850000</v>
      </c>
      <c r="K516" s="5">
        <v>680000</v>
      </c>
      <c r="L516" s="5">
        <v>4250000</v>
      </c>
      <c r="M516" s="5">
        <v>850000</v>
      </c>
    </row>
    <row r="517" spans="1:13" x14ac:dyDescent="0.3">
      <c r="A517" s="5">
        <v>516</v>
      </c>
      <c r="B517" s="10">
        <v>46197</v>
      </c>
      <c r="C517" s="5">
        <v>105</v>
      </c>
      <c r="D517" s="4" t="s">
        <v>33</v>
      </c>
      <c r="E517" s="4" t="s">
        <v>34</v>
      </c>
      <c r="F517" s="5">
        <v>205</v>
      </c>
      <c r="G517" s="4" t="s">
        <v>23</v>
      </c>
      <c r="H517" s="4" t="s">
        <v>16</v>
      </c>
      <c r="I517" s="5">
        <v>2</v>
      </c>
      <c r="J517" s="5">
        <v>213400</v>
      </c>
      <c r="K517" s="5">
        <v>145000</v>
      </c>
      <c r="L517" s="5">
        <v>426800</v>
      </c>
      <c r="M517" s="5">
        <v>136800</v>
      </c>
    </row>
    <row r="518" spans="1:13" x14ac:dyDescent="0.3">
      <c r="A518" s="5">
        <v>517</v>
      </c>
      <c r="B518" s="10">
        <v>46198</v>
      </c>
      <c r="C518" s="5">
        <v>108</v>
      </c>
      <c r="D518" s="4" t="s">
        <v>30</v>
      </c>
      <c r="E518" s="4" t="s">
        <v>31</v>
      </c>
      <c r="F518" s="5">
        <v>202</v>
      </c>
      <c r="G518" s="4" t="s">
        <v>19</v>
      </c>
      <c r="H518" s="4" t="s">
        <v>18</v>
      </c>
      <c r="I518" s="5">
        <v>4</v>
      </c>
      <c r="J518" s="5">
        <v>271600</v>
      </c>
      <c r="K518" s="5">
        <v>210000</v>
      </c>
      <c r="L518" s="5">
        <v>1086400</v>
      </c>
      <c r="M518" s="5">
        <v>246400</v>
      </c>
    </row>
    <row r="519" spans="1:13" x14ac:dyDescent="0.3">
      <c r="A519" s="5">
        <v>518</v>
      </c>
      <c r="B519" s="10">
        <v>46198</v>
      </c>
      <c r="C519" s="5">
        <v>101</v>
      </c>
      <c r="D519" s="4" t="s">
        <v>13</v>
      </c>
      <c r="E519" s="4" t="s">
        <v>14</v>
      </c>
      <c r="F519" s="5">
        <v>205</v>
      </c>
      <c r="G519" s="4" t="s">
        <v>23</v>
      </c>
      <c r="H519" s="4" t="s">
        <v>16</v>
      </c>
      <c r="I519" s="5">
        <v>5</v>
      </c>
      <c r="J519" s="5">
        <v>209000</v>
      </c>
      <c r="K519" s="5">
        <v>145000</v>
      </c>
      <c r="L519" s="5">
        <v>1045000</v>
      </c>
      <c r="M519" s="5">
        <v>320000</v>
      </c>
    </row>
    <row r="520" spans="1:13" x14ac:dyDescent="0.3">
      <c r="A520" s="5">
        <v>519</v>
      </c>
      <c r="B520" s="10">
        <v>46198</v>
      </c>
      <c r="C520" s="5">
        <v>102</v>
      </c>
      <c r="D520" s="4" t="s">
        <v>27</v>
      </c>
      <c r="E520" s="4" t="s">
        <v>28</v>
      </c>
      <c r="F520" s="5">
        <v>201</v>
      </c>
      <c r="G520" s="4" t="s">
        <v>17</v>
      </c>
      <c r="H520" s="4" t="s">
        <v>18</v>
      </c>
      <c r="I520" s="5">
        <v>3</v>
      </c>
      <c r="J520" s="5">
        <v>807500</v>
      </c>
      <c r="K520" s="5">
        <v>680000</v>
      </c>
      <c r="L520" s="5">
        <v>2422500</v>
      </c>
      <c r="M520" s="5">
        <v>382500</v>
      </c>
    </row>
    <row r="521" spans="1:13" x14ac:dyDescent="0.3">
      <c r="A521" s="5">
        <v>520</v>
      </c>
      <c r="B521" s="10">
        <v>46199</v>
      </c>
      <c r="C521" s="5">
        <v>102</v>
      </c>
      <c r="D521" s="4" t="s">
        <v>27</v>
      </c>
      <c r="E521" s="4" t="s">
        <v>28</v>
      </c>
      <c r="F521" s="5">
        <v>204</v>
      </c>
      <c r="G521" s="4" t="s">
        <v>22</v>
      </c>
      <c r="H521" s="4" t="s">
        <v>21</v>
      </c>
      <c r="I521" s="5">
        <v>2</v>
      </c>
      <c r="J521" s="5">
        <v>52250</v>
      </c>
      <c r="K521" s="5">
        <v>33000</v>
      </c>
      <c r="L521" s="5">
        <v>104500</v>
      </c>
      <c r="M521" s="5">
        <v>38500</v>
      </c>
    </row>
    <row r="522" spans="1:13" x14ac:dyDescent="0.3">
      <c r="A522" s="5">
        <v>521</v>
      </c>
      <c r="B522" s="10">
        <v>46199</v>
      </c>
      <c r="C522" s="5">
        <v>107</v>
      </c>
      <c r="D522" s="4" t="s">
        <v>24</v>
      </c>
      <c r="E522" s="4" t="s">
        <v>14</v>
      </c>
      <c r="F522" s="5">
        <v>204</v>
      </c>
      <c r="G522" s="4" t="s">
        <v>22</v>
      </c>
      <c r="H522" s="4" t="s">
        <v>21</v>
      </c>
      <c r="I522" s="5">
        <v>1</v>
      </c>
      <c r="J522" s="5">
        <v>50600</v>
      </c>
      <c r="K522" s="5">
        <v>33000</v>
      </c>
      <c r="L522" s="5">
        <v>50600</v>
      </c>
      <c r="M522" s="5">
        <v>17600</v>
      </c>
    </row>
    <row r="523" spans="1:13" x14ac:dyDescent="0.3">
      <c r="A523" s="5">
        <v>522</v>
      </c>
      <c r="B523" s="10">
        <v>46199</v>
      </c>
      <c r="C523" s="5">
        <v>101</v>
      </c>
      <c r="D523" s="4" t="s">
        <v>13</v>
      </c>
      <c r="E523" s="4" t="s">
        <v>14</v>
      </c>
      <c r="F523" s="5">
        <v>206</v>
      </c>
      <c r="G523" s="4" t="s">
        <v>15</v>
      </c>
      <c r="H523" s="4" t="s">
        <v>16</v>
      </c>
      <c r="I523" s="5">
        <v>1</v>
      </c>
      <c r="J523" s="5">
        <v>332500</v>
      </c>
      <c r="K523" s="5">
        <v>235000</v>
      </c>
      <c r="L523" s="5">
        <v>332500</v>
      </c>
      <c r="M523" s="5">
        <v>97500</v>
      </c>
    </row>
    <row r="524" spans="1:13" x14ac:dyDescent="0.3">
      <c r="A524" s="5">
        <v>523</v>
      </c>
      <c r="B524" s="10">
        <v>46200</v>
      </c>
      <c r="C524" s="5">
        <v>101</v>
      </c>
      <c r="D524" s="4" t="s">
        <v>13</v>
      </c>
      <c r="E524" s="4" t="s">
        <v>14</v>
      </c>
      <c r="F524" s="5">
        <v>205</v>
      </c>
      <c r="G524" s="4" t="s">
        <v>23</v>
      </c>
      <c r="H524" s="4" t="s">
        <v>16</v>
      </c>
      <c r="I524" s="5">
        <v>4</v>
      </c>
      <c r="J524" s="5">
        <v>220000</v>
      </c>
      <c r="K524" s="5">
        <v>145000</v>
      </c>
      <c r="L524" s="5">
        <v>880000</v>
      </c>
      <c r="M524" s="5">
        <v>300000</v>
      </c>
    </row>
    <row r="525" spans="1:13" x14ac:dyDescent="0.3">
      <c r="A525" s="5">
        <v>524</v>
      </c>
      <c r="B525" s="10">
        <v>46200</v>
      </c>
      <c r="C525" s="5">
        <v>108</v>
      </c>
      <c r="D525" s="4" t="s">
        <v>30</v>
      </c>
      <c r="E525" s="4" t="s">
        <v>31</v>
      </c>
      <c r="F525" s="5">
        <v>202</v>
      </c>
      <c r="G525" s="4" t="s">
        <v>19</v>
      </c>
      <c r="H525" s="4" t="s">
        <v>18</v>
      </c>
      <c r="I525" s="5">
        <v>2</v>
      </c>
      <c r="J525" s="5">
        <v>271600</v>
      </c>
      <c r="K525" s="5">
        <v>210000</v>
      </c>
      <c r="L525" s="5">
        <v>543200</v>
      </c>
      <c r="M525" s="5">
        <v>123200</v>
      </c>
    </row>
    <row r="526" spans="1:13" x14ac:dyDescent="0.3">
      <c r="A526" s="5">
        <v>525</v>
      </c>
      <c r="B526" s="10">
        <v>46201</v>
      </c>
      <c r="C526" s="5">
        <v>102</v>
      </c>
      <c r="D526" s="4" t="s">
        <v>27</v>
      </c>
      <c r="E526" s="4" t="s">
        <v>28</v>
      </c>
      <c r="F526" s="5">
        <v>203</v>
      </c>
      <c r="G526" s="4" t="s">
        <v>20</v>
      </c>
      <c r="H526" s="4" t="s">
        <v>21</v>
      </c>
      <c r="I526" s="5">
        <v>2</v>
      </c>
      <c r="J526" s="5">
        <v>95000</v>
      </c>
      <c r="K526" s="5">
        <v>62000</v>
      </c>
      <c r="L526" s="5">
        <v>190000</v>
      </c>
      <c r="M526" s="5">
        <v>66000</v>
      </c>
    </row>
    <row r="527" spans="1:13" x14ac:dyDescent="0.3">
      <c r="A527" s="5">
        <v>526</v>
      </c>
      <c r="B527" s="10">
        <v>46201</v>
      </c>
      <c r="C527" s="5">
        <v>103</v>
      </c>
      <c r="D527" s="4" t="s">
        <v>32</v>
      </c>
      <c r="E527" s="4" t="s">
        <v>31</v>
      </c>
      <c r="F527" s="5">
        <v>205</v>
      </c>
      <c r="G527" s="4" t="s">
        <v>23</v>
      </c>
      <c r="H527" s="4" t="s">
        <v>16</v>
      </c>
      <c r="I527" s="5">
        <v>4</v>
      </c>
      <c r="J527" s="5">
        <v>213400</v>
      </c>
      <c r="K527" s="5">
        <v>145000</v>
      </c>
      <c r="L527" s="5">
        <v>853600</v>
      </c>
      <c r="M527" s="5">
        <v>273600</v>
      </c>
    </row>
    <row r="528" spans="1:13" x14ac:dyDescent="0.3">
      <c r="A528" s="5">
        <v>527</v>
      </c>
      <c r="B528" s="10">
        <v>46201</v>
      </c>
      <c r="C528" s="5">
        <v>103</v>
      </c>
      <c r="D528" s="4" t="s">
        <v>32</v>
      </c>
      <c r="E528" s="4" t="s">
        <v>31</v>
      </c>
      <c r="F528" s="5">
        <v>205</v>
      </c>
      <c r="G528" s="4" t="s">
        <v>23</v>
      </c>
      <c r="H528" s="4" t="s">
        <v>16</v>
      </c>
      <c r="I528" s="5">
        <v>4</v>
      </c>
      <c r="J528" s="5">
        <v>202400</v>
      </c>
      <c r="K528" s="5">
        <v>145000</v>
      </c>
      <c r="L528" s="5">
        <v>809600</v>
      </c>
      <c r="M528" s="5">
        <v>229600</v>
      </c>
    </row>
    <row r="529" spans="1:13" x14ac:dyDescent="0.3">
      <c r="A529" s="5">
        <v>528</v>
      </c>
      <c r="B529" s="10">
        <v>46202</v>
      </c>
      <c r="C529" s="5">
        <v>107</v>
      </c>
      <c r="D529" s="4" t="s">
        <v>24</v>
      </c>
      <c r="E529" s="4" t="s">
        <v>14</v>
      </c>
      <c r="F529" s="5">
        <v>206</v>
      </c>
      <c r="G529" s="4" t="s">
        <v>15</v>
      </c>
      <c r="H529" s="4" t="s">
        <v>16</v>
      </c>
      <c r="I529" s="5">
        <v>3</v>
      </c>
      <c r="J529" s="5">
        <v>339500</v>
      </c>
      <c r="K529" s="5">
        <v>235000</v>
      </c>
      <c r="L529" s="5">
        <v>1018500</v>
      </c>
      <c r="M529" s="5">
        <v>313500</v>
      </c>
    </row>
    <row r="530" spans="1:13" x14ac:dyDescent="0.3">
      <c r="A530" s="5">
        <v>529</v>
      </c>
      <c r="B530" s="10">
        <v>46202</v>
      </c>
      <c r="C530" s="5">
        <v>103</v>
      </c>
      <c r="D530" s="4" t="s">
        <v>32</v>
      </c>
      <c r="E530" s="4" t="s">
        <v>31</v>
      </c>
      <c r="F530" s="5">
        <v>202</v>
      </c>
      <c r="G530" s="4" t="s">
        <v>19</v>
      </c>
      <c r="H530" s="4" t="s">
        <v>18</v>
      </c>
      <c r="I530" s="5">
        <v>4</v>
      </c>
      <c r="J530" s="5">
        <v>266000</v>
      </c>
      <c r="K530" s="5">
        <v>210000</v>
      </c>
      <c r="L530" s="5">
        <v>1064000</v>
      </c>
      <c r="M530" s="5">
        <v>224000</v>
      </c>
    </row>
    <row r="531" spans="1:13" x14ac:dyDescent="0.3">
      <c r="A531" s="5">
        <v>530</v>
      </c>
      <c r="B531" s="10">
        <v>46202</v>
      </c>
      <c r="C531" s="5">
        <v>107</v>
      </c>
      <c r="D531" s="4" t="s">
        <v>24</v>
      </c>
      <c r="E531" s="4" t="s">
        <v>14</v>
      </c>
      <c r="F531" s="5">
        <v>202</v>
      </c>
      <c r="G531" s="4" t="s">
        <v>19</v>
      </c>
      <c r="H531" s="4" t="s">
        <v>18</v>
      </c>
      <c r="I531" s="5">
        <v>3</v>
      </c>
      <c r="J531" s="5">
        <v>280000</v>
      </c>
      <c r="K531" s="5">
        <v>210000</v>
      </c>
      <c r="L531" s="5">
        <v>840000</v>
      </c>
      <c r="M531" s="5">
        <v>210000</v>
      </c>
    </row>
    <row r="532" spans="1:13" x14ac:dyDescent="0.3">
      <c r="A532" s="5">
        <v>531</v>
      </c>
      <c r="B532" s="10">
        <v>46202</v>
      </c>
      <c r="C532" s="5">
        <v>108</v>
      </c>
      <c r="D532" s="4" t="s">
        <v>30</v>
      </c>
      <c r="E532" s="4" t="s">
        <v>31</v>
      </c>
      <c r="F532" s="5">
        <v>202</v>
      </c>
      <c r="G532" s="4" t="s">
        <v>19</v>
      </c>
      <c r="H532" s="4" t="s">
        <v>18</v>
      </c>
      <c r="I532" s="5">
        <v>1</v>
      </c>
      <c r="J532" s="5">
        <v>266000</v>
      </c>
      <c r="K532" s="5">
        <v>210000</v>
      </c>
      <c r="L532" s="5">
        <v>266000</v>
      </c>
      <c r="M532" s="5">
        <v>56000</v>
      </c>
    </row>
    <row r="533" spans="1:13" x14ac:dyDescent="0.3">
      <c r="A533" s="5">
        <v>532</v>
      </c>
      <c r="B533" s="10">
        <v>46203</v>
      </c>
      <c r="C533" s="5">
        <v>108</v>
      </c>
      <c r="D533" s="4" t="s">
        <v>30</v>
      </c>
      <c r="E533" s="4" t="s">
        <v>31</v>
      </c>
      <c r="F533" s="5">
        <v>201</v>
      </c>
      <c r="G533" s="4" t="s">
        <v>17</v>
      </c>
      <c r="H533" s="4" t="s">
        <v>18</v>
      </c>
      <c r="I533" s="5">
        <v>2</v>
      </c>
      <c r="J533" s="5">
        <v>850000</v>
      </c>
      <c r="K533" s="5">
        <v>680000</v>
      </c>
      <c r="L533" s="5">
        <v>1700000</v>
      </c>
      <c r="M533" s="5">
        <v>340000</v>
      </c>
    </row>
    <row r="534" spans="1:13" x14ac:dyDescent="0.3">
      <c r="A534" s="5">
        <v>533</v>
      </c>
      <c r="B534" s="10">
        <v>46203</v>
      </c>
      <c r="C534" s="5">
        <v>103</v>
      </c>
      <c r="D534" s="4" t="s">
        <v>32</v>
      </c>
      <c r="E534" s="4" t="s">
        <v>31</v>
      </c>
      <c r="F534" s="5">
        <v>204</v>
      </c>
      <c r="G534" s="4" t="s">
        <v>22</v>
      </c>
      <c r="H534" s="4" t="s">
        <v>21</v>
      </c>
      <c r="I534" s="5">
        <v>2</v>
      </c>
      <c r="J534" s="5">
        <v>55000</v>
      </c>
      <c r="K534" s="5">
        <v>33000</v>
      </c>
      <c r="L534" s="5">
        <v>110000</v>
      </c>
      <c r="M534" s="5">
        <v>44000</v>
      </c>
    </row>
    <row r="535" spans="1:13" x14ac:dyDescent="0.3">
      <c r="A535" s="5">
        <v>534</v>
      </c>
      <c r="B535" s="10">
        <v>46203</v>
      </c>
      <c r="C535" s="5">
        <v>105</v>
      </c>
      <c r="D535" s="4" t="s">
        <v>33</v>
      </c>
      <c r="E535" s="4" t="s">
        <v>34</v>
      </c>
      <c r="F535" s="5">
        <v>201</v>
      </c>
      <c r="G535" s="4" t="s">
        <v>17</v>
      </c>
      <c r="H535" s="4" t="s">
        <v>18</v>
      </c>
      <c r="I535" s="5">
        <v>2</v>
      </c>
      <c r="J535" s="5">
        <v>850000</v>
      </c>
      <c r="K535" s="5">
        <v>680000</v>
      </c>
      <c r="L535" s="5">
        <v>1700000</v>
      </c>
      <c r="M535" s="5">
        <v>340000</v>
      </c>
    </row>
    <row r="536" spans="1:13" x14ac:dyDescent="0.3">
      <c r="A536" s="5">
        <v>535</v>
      </c>
      <c r="B536" s="10">
        <v>46203</v>
      </c>
      <c r="C536" s="5">
        <v>101</v>
      </c>
      <c r="D536" s="4" t="s">
        <v>13</v>
      </c>
      <c r="E536" s="4" t="s">
        <v>14</v>
      </c>
      <c r="F536" s="5">
        <v>203</v>
      </c>
      <c r="G536" s="4" t="s">
        <v>20</v>
      </c>
      <c r="H536" s="4" t="s">
        <v>21</v>
      </c>
      <c r="I536" s="5">
        <v>5</v>
      </c>
      <c r="J536" s="5">
        <v>87400</v>
      </c>
      <c r="K536" s="5">
        <v>62000</v>
      </c>
      <c r="L536" s="5">
        <v>437000</v>
      </c>
      <c r="M536" s="5">
        <v>127000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5C3437-1D8B-44EB-A79D-5E9BEED7F826}">
  <dimension ref="A1:D9"/>
  <sheetViews>
    <sheetView showGridLines="0" workbookViewId="0">
      <selection activeCell="F19" sqref="F19"/>
    </sheetView>
  </sheetViews>
  <sheetFormatPr baseColWidth="10" defaultRowHeight="14.4" x14ac:dyDescent="0.3"/>
  <cols>
    <col min="2" max="2" width="13.5546875" bestFit="1" customWidth="1"/>
  </cols>
  <sheetData>
    <row r="1" spans="1:4" ht="18" x14ac:dyDescent="0.35">
      <c r="A1" s="38" t="s">
        <v>48</v>
      </c>
      <c r="B1" s="38"/>
      <c r="C1" s="38"/>
      <c r="D1" s="7"/>
    </row>
    <row r="2" spans="1:4" x14ac:dyDescent="0.3">
      <c r="A2" s="7" t="s">
        <v>49</v>
      </c>
      <c r="B2" s="7" t="s">
        <v>50</v>
      </c>
      <c r="C2" s="7"/>
      <c r="D2" s="7"/>
    </row>
    <row r="3" spans="1:4" x14ac:dyDescent="0.3">
      <c r="A3" s="7" t="s">
        <v>51</v>
      </c>
      <c r="B3" s="8">
        <v>494557500</v>
      </c>
      <c r="C3" s="7"/>
      <c r="D3" s="7"/>
    </row>
    <row r="4" spans="1:4" x14ac:dyDescent="0.3">
      <c r="A4" s="7" t="s">
        <v>52</v>
      </c>
      <c r="B4" s="8">
        <v>80</v>
      </c>
      <c r="C4" s="7"/>
      <c r="D4" s="7"/>
    </row>
    <row r="5" spans="1:4" x14ac:dyDescent="0.3">
      <c r="A5" s="7" t="s">
        <v>53</v>
      </c>
      <c r="B5" s="7">
        <f>B3*(1-B4)</f>
        <v>-39070042500</v>
      </c>
      <c r="C5" s="7"/>
      <c r="D5" s="7"/>
    </row>
    <row r="6" spans="1:4" x14ac:dyDescent="0.3">
      <c r="A6" s="9" t="s">
        <v>54</v>
      </c>
      <c r="B6" s="9" t="s">
        <v>55</v>
      </c>
      <c r="C6" s="9" t="s">
        <v>56</v>
      </c>
      <c r="D6" s="9" t="s">
        <v>57</v>
      </c>
    </row>
    <row r="7" spans="1:4" x14ac:dyDescent="0.3">
      <c r="A7" s="7" t="s">
        <v>58</v>
      </c>
      <c r="B7" s="8">
        <v>0.8</v>
      </c>
      <c r="C7" s="7">
        <f>$B$3</f>
        <v>494557500</v>
      </c>
      <c r="D7" s="7">
        <f>C7*(1-B7)</f>
        <v>98911499.999999985</v>
      </c>
    </row>
    <row r="8" spans="1:4" x14ac:dyDescent="0.3">
      <c r="A8" s="7" t="s">
        <v>59</v>
      </c>
      <c r="B8" s="8">
        <v>0.72</v>
      </c>
      <c r="C8" s="7">
        <f>$B$3</f>
        <v>494557500</v>
      </c>
      <c r="D8" s="7">
        <f>C8*(1-B8)</f>
        <v>138476100</v>
      </c>
    </row>
    <row r="9" spans="1:4" x14ac:dyDescent="0.3">
      <c r="A9" s="7" t="s">
        <v>60</v>
      </c>
      <c r="B9" s="8">
        <v>0.65</v>
      </c>
      <c r="C9" s="7">
        <f>$B$3</f>
        <v>494557500</v>
      </c>
      <c r="D9" s="7">
        <f>C9*(1-B9)</f>
        <v>173095125</v>
      </c>
    </row>
  </sheetData>
  <mergeCells count="1">
    <mergeCell ref="A1:C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Props1.xml><?xml version="1.0" encoding="utf-8"?>
<ds:datastoreItem xmlns:ds="http://schemas.openxmlformats.org/officeDocument/2006/customXml" ds:itemID="{79E02B54-EB1C-4147-9C75-DBEDA3071306}">
  <ds:schemaRefs/>
</ds:datastoreItem>
</file>

<file path=customXml/itemProps2.xml><?xml version="1.0" encoding="utf-8"?>
<ds:datastoreItem xmlns:ds="http://schemas.openxmlformats.org/officeDocument/2006/customXml" ds:itemID="{E58ADA74-531F-447B-A76D-32F53162E9CA}">
  <ds:schemaRefs/>
</ds:datastoreItem>
</file>

<file path=customXml/itemProps3.xml><?xml version="1.0" encoding="utf-8"?>
<ds:datastoreItem xmlns:ds="http://schemas.openxmlformats.org/officeDocument/2006/customXml" ds:itemID="{5619EC79-7091-4719-9925-7886BD21EA96}">
  <ds:schemaRefs/>
</ds:datastoreItem>
</file>

<file path=customXml/itemProps4.xml><?xml version="1.0" encoding="utf-8"?>
<ds:datastoreItem xmlns:ds="http://schemas.openxmlformats.org/officeDocument/2006/customXml" ds:itemID="{943D171F-CB59-454D-93AD-315B0ECFB144}">
  <ds:schemaRefs/>
</ds:datastoreItem>
</file>

<file path=customXml/itemProps5.xml><?xml version="1.0" encoding="utf-8"?>
<ds:datastoreItem xmlns:ds="http://schemas.openxmlformats.org/officeDocument/2006/customXml" ds:itemID="{1CCD600A-6C4E-4FCE-B600-642F37811E01}">
  <ds:schemaRefs/>
</ds:datastoreItem>
</file>

<file path=customXml/itemProps6.xml><?xml version="1.0" encoding="utf-8"?>
<ds:datastoreItem xmlns:ds="http://schemas.openxmlformats.org/officeDocument/2006/customXml" ds:itemID="{6BB8D2B2-CAE7-4A0C-A502-2043E30A463D}">
  <ds:schemaRefs/>
</ds:datastoreItem>
</file>

<file path=customXml/itemProps7.xml><?xml version="1.0" encoding="utf-8"?>
<ds:datastoreItem xmlns:ds="http://schemas.openxmlformats.org/officeDocument/2006/customXml" ds:itemID="{55653190-4691-4BEA-B46D-E1F9BE179070}">
  <ds:schemaRefs/>
</ds:datastoreItem>
</file>

<file path=customXml/itemProps8.xml><?xml version="1.0" encoding="utf-8"?>
<ds:datastoreItem xmlns:ds="http://schemas.openxmlformats.org/officeDocument/2006/customXml" ds:itemID="{81502368-930E-4A8B-8DEE-3297A55162A7}">
  <ds:schemaRefs/>
</ds:datastoreItem>
</file>

<file path=customXml/itemProps9.xml><?xml version="1.0" encoding="utf-8"?>
<ds:datastoreItem xmlns:ds="http://schemas.openxmlformats.org/officeDocument/2006/customXml" ds:itemID="{12D1250F-7ECB-48FC-8826-4C5A085B1C14}">
  <ds:schemaRefs/>
</ds:datastoreItem>
</file>

<file path=customXml/itemProps10.xml><?xml version="1.0" encoding="utf-8"?>
<ds:datastoreItem xmlns:ds="http://schemas.openxmlformats.org/officeDocument/2006/customXml" ds:itemID="{8C11BF22-5432-4FF3-A834-115D5E940C3A}">
  <ds:schemaRefs/>
</ds:datastoreItem>
</file>

<file path=customXml/itemProps11.xml><?xml version="1.0" encoding="utf-8"?>
<ds:datastoreItem xmlns:ds="http://schemas.openxmlformats.org/officeDocument/2006/customXml" ds:itemID="{01615F3B-42EB-4432-BF21-F045240A5DE9}">
  <ds:schemaRefs/>
</ds:datastoreItem>
</file>

<file path=customXml/itemProps12.xml><?xml version="1.0" encoding="utf-8"?>
<ds:datastoreItem xmlns:ds="http://schemas.openxmlformats.org/officeDocument/2006/customXml" ds:itemID="{CC18091D-A8AA-44BE-8272-40BC5D73A337}">
  <ds:schemaRefs/>
</ds:datastoreItem>
</file>

<file path=customXml/itemProps13.xml><?xml version="1.0" encoding="utf-8"?>
<ds:datastoreItem xmlns:ds="http://schemas.openxmlformats.org/officeDocument/2006/customXml" ds:itemID="{62E8DDE5-37D6-4085-AC6B-736416C861CF}">
  <ds:schemaRefs/>
</ds:datastoreItem>
</file>

<file path=customXml/itemProps14.xml><?xml version="1.0" encoding="utf-8"?>
<ds:datastoreItem xmlns:ds="http://schemas.openxmlformats.org/officeDocument/2006/customXml" ds:itemID="{DAF41C1C-F971-4895-AAA6-18DED8073D85}">
  <ds:schemaRefs/>
</ds:datastoreItem>
</file>

<file path=customXml/itemProps15.xml><?xml version="1.0" encoding="utf-8"?>
<ds:datastoreItem xmlns:ds="http://schemas.openxmlformats.org/officeDocument/2006/customXml" ds:itemID="{79CF0428-3565-44DB-8F16-1C5B7A03E912}">
  <ds:schemaRefs/>
</ds:datastoreItem>
</file>

<file path=customXml/itemProps16.xml><?xml version="1.0" encoding="utf-8"?>
<ds:datastoreItem xmlns:ds="http://schemas.openxmlformats.org/officeDocument/2006/customXml" ds:itemID="{0079CC80-C313-40C2-A737-3CBCBF92EB0A}">
  <ds:schemaRefs/>
</ds:datastoreItem>
</file>

<file path=customXml/itemProps17.xml><?xml version="1.0" encoding="utf-8"?>
<ds:datastoreItem xmlns:ds="http://schemas.openxmlformats.org/officeDocument/2006/customXml" ds:itemID="{0608C82F-CC6A-4D69-940C-4676DBB6B5D8}">
  <ds:schemaRefs/>
</ds:datastoreItem>
</file>

<file path=customXml/itemProps18.xml><?xml version="1.0" encoding="utf-8"?>
<ds:datastoreItem xmlns:ds="http://schemas.openxmlformats.org/officeDocument/2006/customXml" ds:itemID="{F031B8DF-8F6B-4636-9D13-552556213B1D}">
  <ds:schemaRefs>
    <ds:schemaRef ds:uri="http://schemas.microsoft.com/DataMashup"/>
  </ds:schemaRefs>
</ds:datastoreItem>
</file>

<file path=customXml/itemProps19.xml><?xml version="1.0" encoding="utf-8"?>
<ds:datastoreItem xmlns:ds="http://schemas.openxmlformats.org/officeDocument/2006/customXml" ds:itemID="{4344076E-E298-4B7C-8223-10076FF4B383}">
  <ds:schemaRefs/>
</ds:datastoreItem>
</file>

<file path=customXml/itemProps20.xml><?xml version="1.0" encoding="utf-8"?>
<ds:datastoreItem xmlns:ds="http://schemas.openxmlformats.org/officeDocument/2006/customXml" ds:itemID="{8434ADB7-9FBF-415E-BF93-45CB294C38BD}">
  <ds:schemaRefs/>
</ds:datastoreItem>
</file>

<file path=customXml/itemProps21.xml><?xml version="1.0" encoding="utf-8"?>
<ds:datastoreItem xmlns:ds="http://schemas.openxmlformats.org/officeDocument/2006/customXml" ds:itemID="{74C411CB-448E-4AAC-86C5-C26238835573}">
  <ds:schemaRefs/>
</ds:datastoreItem>
</file>

<file path=customXml/itemProps22.xml><?xml version="1.0" encoding="utf-8"?>
<ds:datastoreItem xmlns:ds="http://schemas.openxmlformats.org/officeDocument/2006/customXml" ds:itemID="{F05EC94D-9DCD-4283-84FA-0A29A8D8AED0}">
  <ds:schemaRefs/>
</ds:datastoreItem>
</file>

<file path=customXml/itemProps23.xml><?xml version="1.0" encoding="utf-8"?>
<ds:datastoreItem xmlns:ds="http://schemas.openxmlformats.org/officeDocument/2006/customXml" ds:itemID="{91A4752A-9EEA-45DF-A070-E4C7B719AD56}">
  <ds:schemaRefs/>
</ds:datastoreItem>
</file>

<file path=customXml/itemProps24.xml><?xml version="1.0" encoding="utf-8"?>
<ds:datastoreItem xmlns:ds="http://schemas.openxmlformats.org/officeDocument/2006/customXml" ds:itemID="{FDA28A0F-ADAA-40B9-A6C8-C0ADB4F9320D}">
  <ds:schemaRefs/>
</ds:datastoreItem>
</file>

<file path=customXml/itemProps25.xml><?xml version="1.0" encoding="utf-8"?>
<ds:datastoreItem xmlns:ds="http://schemas.openxmlformats.org/officeDocument/2006/customXml" ds:itemID="{9F74A5BD-1453-43A0-BE6F-18D27CA6760E}">
  <ds:schemaRefs/>
</ds:datastoreItem>
</file>

<file path=customXml/itemProps26.xml><?xml version="1.0" encoding="utf-8"?>
<ds:datastoreItem xmlns:ds="http://schemas.openxmlformats.org/officeDocument/2006/customXml" ds:itemID="{24BA69C5-E1CE-43BF-AF66-C747601A429F}">
  <ds:schemaRefs/>
</ds:datastoreItem>
</file>

<file path=customXml/itemProps27.xml><?xml version="1.0" encoding="utf-8"?>
<ds:datastoreItem xmlns:ds="http://schemas.openxmlformats.org/officeDocument/2006/customXml" ds:itemID="{0F0D5F1C-7C2B-45E2-A968-23F9C4C5C32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9</vt:i4>
      </vt:variant>
    </vt:vector>
  </HeadingPairs>
  <TitlesOfParts>
    <vt:vector size="9" baseType="lpstr">
      <vt:lpstr>Hoja3</vt:lpstr>
      <vt:lpstr>Dashboard</vt:lpstr>
      <vt:lpstr>Hechos_Ventas</vt:lpstr>
      <vt:lpstr>Hoja1</vt:lpstr>
      <vt:lpstr>Resumen</vt:lpstr>
      <vt:lpstr>Resumen del Escenario</vt:lpstr>
      <vt:lpstr>DAX_Medidas</vt:lpstr>
      <vt:lpstr>Datos_Fuentes</vt:lpstr>
      <vt:lpstr>Escenarios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Marcela Bustos</dc:creator>
  <cp:lastModifiedBy>Marcela Bustos</cp:lastModifiedBy>
  <dcterms:created xsi:type="dcterms:W3CDTF">2026-10-01T15:16:14Z</dcterms:created>
  <dcterms:modified xsi:type="dcterms:W3CDTF">2026-10-02T15:10:04Z</dcterms:modified>
</cp:coreProperties>
</file>